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Wpdasclr05c\cfo\SARS\OAM Policies\OAM Ready to Review\"/>
    </mc:Choice>
  </mc:AlternateContent>
  <xr:revisionPtr revIDLastSave="0" documentId="13_ncr:1_{7FD73D6E-E0F4-4591-8576-0AADE60474D8}" xr6:coauthVersionLast="47" xr6:coauthVersionMax="47" xr10:uidLastSave="{00000000-0000-0000-0000-000000000000}"/>
  <bookViews>
    <workbookView xWindow="10980" yWindow="1350" windowWidth="17865" windowHeight="13665" xr2:uid="{00000000-000D-0000-FFFF-FFFF00000000}"/>
  </bookViews>
  <sheets>
    <sheet name="2026 TEDS" sheetId="3" r:id="rId1"/>
    <sheet name="Instructions" sheetId="8" r:id="rId2"/>
  </sheets>
  <definedNames>
    <definedName name="OLE_LINK1" localSheetId="1">Instructions!$B$1</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2" i="3" l="1"/>
  <c r="R42" i="3"/>
  <c r="R30" i="3"/>
  <c r="R31" i="3"/>
  <c r="O30" i="3"/>
  <c r="O31" i="3"/>
  <c r="O32" i="3"/>
  <c r="I26" i="3"/>
  <c r="O26" i="3" l="1"/>
  <c r="O34" i="3"/>
  <c r="R34" i="3" s="1"/>
  <c r="O35" i="3"/>
  <c r="R35" i="3" s="1"/>
  <c r="R32" i="3"/>
  <c r="O33" i="3"/>
  <c r="R33" i="3" s="1"/>
  <c r="Q25" i="3"/>
  <c r="Q24" i="3"/>
  <c r="Q23" i="3"/>
  <c r="Q22" i="3"/>
  <c r="Q21" i="3"/>
  <c r="Q20" i="3"/>
  <c r="Q19" i="3"/>
  <c r="J26" i="3"/>
  <c r="L26" i="3"/>
  <c r="N26" i="3"/>
  <c r="Q26" i="3" l="1"/>
  <c r="Q43" i="3" l="1"/>
  <c r="Q47"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ealdere</author>
    <author>rstuder</author>
    <author>State of Oregon DAS</author>
    <author>VAJRATKAR Shrikant * CFO</author>
    <author>WILLIAMS Karen A * DAS</author>
  </authors>
  <commentList>
    <comment ref="A5" authorId="0" shapeId="0" xr:uid="{00000000-0006-0000-0000-000001000000}">
      <text>
        <r>
          <rPr>
            <sz val="10"/>
            <color indexed="81"/>
            <rFont val="Tahoma"/>
            <family val="2"/>
          </rPr>
          <t>1. Name of Employee: Enter the name of the employee claiming reimbursement.</t>
        </r>
      </text>
    </comment>
    <comment ref="G5" authorId="0" shapeId="0" xr:uid="{00000000-0006-0000-0000-000002000000}">
      <text>
        <r>
          <rPr>
            <sz val="10"/>
            <color indexed="81"/>
            <rFont val="Tahoma"/>
            <family val="2"/>
          </rPr>
          <t xml:space="preserve">2.  Agency:  Enter the name of the employing agency (I.e., Department of  Administrative Services).
</t>
        </r>
      </text>
    </comment>
    <comment ref="L5" authorId="0" shapeId="0" xr:uid="{00000000-0006-0000-0000-000003000000}">
      <text>
        <r>
          <rPr>
            <sz val="10"/>
            <color indexed="81"/>
            <rFont val="Tahoma"/>
            <family val="2"/>
          </rPr>
          <t>3.  Period:  Enter the month and year during which the expenses were incurred. (e.g., July 1989)</t>
        </r>
      </text>
    </comment>
    <comment ref="A7" authorId="0" shapeId="0" xr:uid="{00000000-0006-0000-0000-000004000000}">
      <text>
        <r>
          <rPr>
            <sz val="10"/>
            <color indexed="81"/>
            <rFont val="Tahoma"/>
            <family val="2"/>
          </rPr>
          <t>4.  Official Station:  Enter the official headquarters of the employee claiming reimbursement.</t>
        </r>
      </text>
    </comment>
    <comment ref="G7" authorId="0" shapeId="0" xr:uid="{00000000-0006-0000-0000-000005000000}">
      <text>
        <r>
          <rPr>
            <sz val="10"/>
            <color indexed="81"/>
            <rFont val="Tahoma"/>
            <family val="2"/>
          </rPr>
          <t>5.  Division, Work Unit, PCA:  Enter the organizational work unit to be charged (e.g., Budget and Management Division or Cost Center Number).</t>
        </r>
      </text>
    </comment>
    <comment ref="L7" authorId="0" shapeId="0" xr:uid="{00000000-0006-0000-0000-000006000000}">
      <text>
        <r>
          <rPr>
            <sz val="10"/>
            <color indexed="81"/>
            <rFont val="Tahoma"/>
            <family val="2"/>
          </rPr>
          <t xml:space="preserve">6. Put and X in the box after the appropriate work hours.  If you work other then 8a-5p please indicate your working hours in the space provided.
</t>
        </r>
      </text>
    </comment>
    <comment ref="A9" authorId="0" shapeId="0" xr:uid="{00000000-0006-0000-0000-000007000000}">
      <text>
        <r>
          <rPr>
            <sz val="10"/>
            <color indexed="81"/>
            <rFont val="Tahoma"/>
            <family val="2"/>
          </rPr>
          <t xml:space="preserve">7.  Each state officer or employee must indicate if he/she is a member of Unrepresented, Management Service, Executive Service, a Board, a Commission, a Volunteer, or a Bargaining Unit.  If a bargaining unit member indicate the name of the union which represents the employee.   Claimants who are not state employees, indicate "other" with an explanation.  If on a job rotation to another agency, please note under "other".
</t>
        </r>
      </text>
    </comment>
    <comment ref="A13" authorId="1" shapeId="0" xr:uid="{00000000-0006-0000-0000-000008000000}">
      <text>
        <r>
          <rPr>
            <sz val="8"/>
            <color indexed="81"/>
            <rFont val="Tahoma"/>
            <family val="2"/>
          </rPr>
          <t>Enter home address</t>
        </r>
      </text>
    </comment>
    <comment ref="G13" authorId="0" shapeId="0" xr:uid="{8B943A4B-1A06-4F27-A5B2-C80B32B098E3}">
      <text>
        <r>
          <rPr>
            <sz val="10"/>
            <color indexed="81"/>
            <rFont val="Tahoma"/>
            <family val="2"/>
          </rPr>
          <t xml:space="preserve">8. Per State HR Policy 50.050.01
</t>
        </r>
      </text>
    </comment>
    <comment ref="A16" authorId="2" shapeId="0" xr:uid="{00000000-0006-0000-0000-000009000000}">
      <text>
        <r>
          <rPr>
            <sz val="10"/>
            <color indexed="81"/>
            <rFont val="Tahoma"/>
            <family val="2"/>
          </rPr>
          <t>Employee ID found at the top of your monthly pay stub.  It always begins with an OR.</t>
        </r>
        <r>
          <rPr>
            <sz val="10"/>
            <color indexed="81"/>
            <rFont val="Tahoma"/>
            <family val="2"/>
          </rPr>
          <t xml:space="preserve">
</t>
        </r>
      </text>
    </comment>
    <comment ref="A17" authorId="0" shapeId="0" xr:uid="{00000000-0006-0000-0000-00000A000000}">
      <text>
        <r>
          <rPr>
            <sz val="10"/>
            <color indexed="81"/>
            <rFont val="Tahoma"/>
            <family val="2"/>
          </rPr>
          <t xml:space="preserve">8.  Date:  Make a separate line entry for each day of travel in the month.  Enter the date for the day of the month. </t>
        </r>
      </text>
    </comment>
    <comment ref="B17" authorId="0" shapeId="0" xr:uid="{00000000-0006-0000-0000-00000B000000}">
      <text>
        <r>
          <rPr>
            <sz val="10"/>
            <color indexed="81"/>
            <rFont val="Tahoma"/>
            <family val="2"/>
          </rPr>
          <t>9.  Time of Departure:  Enter the time of departure from your home or work station.  Round time to the nearest hour.  When expenses a are being claimed, time of departure is required.</t>
        </r>
      </text>
    </comment>
    <comment ref="C17" authorId="0" shapeId="0" xr:uid="{00000000-0006-0000-0000-00000C000000}">
      <text>
        <r>
          <rPr>
            <sz val="10"/>
            <color indexed="81"/>
            <rFont val="Tahoma"/>
            <family val="2"/>
          </rPr>
          <t>10.  Time of Arrival:  Enter the time of arrival back to your home or work station.  Round tot the nearest hour.  When expenses are being claimed, time of arrival is required.</t>
        </r>
      </text>
    </comment>
    <comment ref="E17" authorId="0" shapeId="0" xr:uid="{00000000-0006-0000-0000-00000D000000}">
      <text>
        <r>
          <rPr>
            <sz val="10"/>
            <color indexed="81"/>
            <rFont val="Tahoma"/>
            <family val="2"/>
          </rPr>
          <t>11.  Destination:  Show the location where the expense was incurred.  If the expense was incurred in transit, enter "Enroute to (name of destination)."</t>
        </r>
      </text>
    </comment>
    <comment ref="I17" authorId="0" shapeId="0" xr:uid="{00000000-0006-0000-0000-00000E000000}">
      <text>
        <r>
          <rPr>
            <sz val="10"/>
            <color indexed="81"/>
            <rFont val="Tahoma"/>
            <family val="2"/>
          </rPr>
          <t xml:space="preserve">12.  Per Diem:   Enter the applicable daily meal per diem for the travel destination.  Enter the amount of individual meal allowance amounts derived from the applicable daily meal per diem for the travel destination when a partial day of travel is being claimed.  (e.g. first and last day of travel)  These blocks are also used by elected officials ormembers of boards and commissions claiming "actual and necessary expenses" per DAS travel rules.
</t>
        </r>
      </text>
    </comment>
    <comment ref="J17" authorId="0" shapeId="0" xr:uid="{00000000-0006-0000-0000-00000F000000}">
      <text>
        <r>
          <rPr>
            <sz val="10"/>
            <color indexed="81"/>
            <rFont val="Tahoma"/>
            <family val="2"/>
          </rPr>
          <t xml:space="preserve">Individual Meal Reimbursement:  When an employee claims meal expenses, the amount of each individual meal is entered in this section.  Reasons for special meals in excess of standard allowances must be justified by a notation of the reason on the expense detail sheet. </t>
        </r>
      </text>
    </comment>
    <comment ref="O17" authorId="0" shapeId="0" xr:uid="{00000000-0006-0000-0000-000010000000}">
      <text>
        <r>
          <rPr>
            <sz val="10"/>
            <color indexed="81"/>
            <rFont val="Tahoma"/>
            <family val="2"/>
          </rPr>
          <t>13.  Lodging:  Enter the actual cost of lodging, not including room tax (see 18 for tax reimbursement).</t>
        </r>
      </text>
    </comment>
    <comment ref="Q17" authorId="0" shapeId="0" xr:uid="{00000000-0006-0000-0000-000011000000}">
      <text>
        <r>
          <rPr>
            <sz val="10"/>
            <color indexed="81"/>
            <rFont val="Tahoma"/>
            <family val="2"/>
          </rPr>
          <t>14.  Total Meals and Lodging:  This is a calculated field, showing the total of the amounts shown under Item 12, or under the itemized sections of 12 and 13 for each day.</t>
        </r>
      </text>
    </comment>
    <comment ref="G26" authorId="0" shapeId="0" xr:uid="{00000000-0006-0000-0000-000012000000}">
      <text>
        <r>
          <rPr>
            <sz val="10"/>
            <color indexed="81"/>
            <rFont val="Tahoma"/>
            <family val="2"/>
          </rPr>
          <t>15.  Show the total of each column at the bottom of the columns.</t>
        </r>
      </text>
    </comment>
    <comment ref="O26" authorId="0" shapeId="0" xr:uid="{00000000-0006-0000-0000-000013000000}">
      <text>
        <r>
          <rPr>
            <sz val="8"/>
            <color indexed="81"/>
            <rFont val="Tahoma"/>
            <family val="2"/>
          </rPr>
          <t xml:space="preserve">Total of Colum 13.
</t>
        </r>
      </text>
    </comment>
    <comment ref="Q26" authorId="0" shapeId="0" xr:uid="{00000000-0006-0000-0000-000014000000}">
      <text>
        <r>
          <rPr>
            <sz val="8"/>
            <color indexed="81"/>
            <rFont val="Tahoma"/>
            <family val="2"/>
          </rPr>
          <t xml:space="preserve">Total of Colum 14.
</t>
        </r>
      </text>
    </comment>
    <comment ref="A27" authorId="0" shapeId="0" xr:uid="{00000000-0006-0000-0000-000015000000}">
      <text>
        <r>
          <rPr>
            <b/>
            <sz val="10"/>
            <color indexed="81"/>
            <rFont val="Tahoma"/>
            <family val="2"/>
          </rPr>
          <t xml:space="preserve">FOR OFFICE USE ONLY! - Cost Distribution:  </t>
        </r>
        <r>
          <rPr>
            <sz val="10"/>
            <color indexed="81"/>
            <rFont val="Tahoma"/>
            <family val="2"/>
          </rPr>
          <t>This section is for the use of the accounting section of the employing agency in distributing costs.</t>
        </r>
      </text>
    </comment>
    <comment ref="E27" authorId="0" shapeId="0" xr:uid="{00000000-0006-0000-0000-000016000000}">
      <text>
        <r>
          <rPr>
            <sz val="10"/>
            <color indexed="81"/>
            <rFont val="Tahoma"/>
            <family val="2"/>
          </rPr>
          <t>17.  Date:  Show the month and day(s) in which the miscellaneous expense(s) was incurred (e.g., 8/5 or 8/5-6).</t>
        </r>
      </text>
    </comment>
    <comment ref="F27" authorId="0" shapeId="0" xr:uid="{00000000-0006-0000-0000-000017000000}">
      <text>
        <r>
          <rPr>
            <sz val="10"/>
            <color indexed="81"/>
            <rFont val="Tahoma"/>
            <family val="2"/>
          </rPr>
          <t>18.  Miscellaneous Expenses:  Fares, Private Car Mileage, Room Tax, Telephone Charges, and Other Expenses.  Identify the exact expense claim.  Sample entries are "Private car mileage - Salem to Portland and return."  "Telephone - Portland to Salem."  "Parking - State car, license E999-000." (Use additional forms if needed.)</t>
        </r>
      </text>
    </comment>
    <comment ref="Q27" authorId="0" shapeId="0" xr:uid="{00000000-0006-0000-0000-000018000000}">
      <text>
        <r>
          <rPr>
            <sz val="10"/>
            <color indexed="81"/>
            <rFont val="Tahoma"/>
            <family val="2"/>
          </rPr>
          <t>22.  These are the current rates.</t>
        </r>
      </text>
    </comment>
    <comment ref="R27" authorId="3" shapeId="0" xr:uid="{00000000-0006-0000-0000-000019000000}">
      <text>
        <r>
          <rPr>
            <sz val="9"/>
            <color indexed="81"/>
            <rFont val="Tahoma"/>
            <family val="2"/>
          </rPr>
          <t xml:space="preserve">23. Auto calculates the amount.
</t>
        </r>
      </text>
    </comment>
    <comment ref="Q30" authorId="4" shapeId="0" xr:uid="{27BF9834-BCE5-42D7-8C8F-773E1D701773}">
      <text>
        <r>
          <rPr>
            <sz val="9"/>
            <color indexed="81"/>
            <rFont val="Tahoma"/>
            <family val="2"/>
          </rPr>
          <t>Rate effective from July 1, 2026 to date.</t>
        </r>
      </text>
    </comment>
    <comment ref="Q31" authorId="4" shapeId="0" xr:uid="{C29614A1-5F4C-4477-BD77-C290170C8606}">
      <text>
        <r>
          <rPr>
            <sz val="9"/>
            <color indexed="81"/>
            <rFont val="Tahoma"/>
            <family val="2"/>
          </rPr>
          <t xml:space="preserve">Rate effective from July 1, 2026 to date.
</t>
        </r>
      </text>
    </comment>
    <comment ref="Q32" authorId="3" shapeId="0" xr:uid="{6DA94CA6-AA64-4BA0-A461-A666200DC11A}">
      <text>
        <r>
          <rPr>
            <sz val="9"/>
            <color indexed="81"/>
            <rFont val="Tahoma"/>
            <family val="2"/>
          </rPr>
          <t>Rate effective from January 1, 2026 to June 30, 2026.</t>
        </r>
      </text>
    </comment>
    <comment ref="Q33" authorId="3" shapeId="0" xr:uid="{21AF4272-A498-4944-B893-3B60D1F2DF99}">
      <text>
        <r>
          <rPr>
            <sz val="9"/>
            <color indexed="81"/>
            <rFont val="Tahoma"/>
            <family val="2"/>
          </rPr>
          <t xml:space="preserve">Rate effective from January 1, 2026 to June 30, 2026.
</t>
        </r>
      </text>
    </comment>
    <comment ref="Q34" authorId="3" shapeId="0" xr:uid="{00000000-0006-0000-0000-00001A000000}">
      <text>
        <r>
          <rPr>
            <sz val="9"/>
            <color indexed="81"/>
            <rFont val="Tahoma"/>
            <family val="2"/>
          </rPr>
          <t>Rate effective from January 1, 2025 to December 31, 2025.</t>
        </r>
      </text>
    </comment>
    <comment ref="Q35" authorId="3" shapeId="0" xr:uid="{7B0FD40A-14B3-4171-AC90-DA2BD437B823}">
      <text>
        <r>
          <rPr>
            <sz val="9"/>
            <color indexed="81"/>
            <rFont val="Tahoma"/>
            <family val="2"/>
          </rPr>
          <t xml:space="preserve">Rate effective from January 1, 2025 to December 31, 2025.
</t>
        </r>
      </text>
    </comment>
    <comment ref="R42" authorId="0" shapeId="0" xr:uid="{00000000-0006-0000-0000-000022000000}">
      <text>
        <r>
          <rPr>
            <sz val="9"/>
            <color indexed="81"/>
            <rFont val="Tahoma"/>
            <family val="2"/>
          </rPr>
          <t>Show the total of column 23.</t>
        </r>
        <r>
          <rPr>
            <sz val="8"/>
            <color indexed="81"/>
            <rFont val="Tahoma"/>
            <family val="2"/>
          </rPr>
          <t xml:space="preserve">
</t>
        </r>
      </text>
    </comment>
    <comment ref="A43" authorId="0" shapeId="0" xr:uid="{00000000-0006-0000-0000-000023000000}">
      <text>
        <r>
          <rPr>
            <b/>
            <sz val="8"/>
            <color indexed="81"/>
            <rFont val="Tahoma"/>
            <family val="2"/>
          </rPr>
          <t xml:space="preserve">26. Reason for Travel:  </t>
        </r>
        <r>
          <rPr>
            <sz val="8"/>
            <color indexed="81"/>
            <rFont val="Tahoma"/>
            <family val="2"/>
          </rPr>
          <t xml:space="preserve"> Be specific in stating reason for travel and subsequent expenses incurred (e.g., traveled to Washington, D.C., to meet with congressional delegates on health care issues).</t>
        </r>
        <r>
          <rPr>
            <sz val="8"/>
            <color indexed="81"/>
            <rFont val="Tahoma"/>
            <family val="2"/>
          </rPr>
          <t xml:space="preserve">
</t>
        </r>
      </text>
    </comment>
    <comment ref="K43" authorId="0" shapeId="0" xr:uid="{00000000-0006-0000-0000-000024000000}">
      <text>
        <r>
          <rPr>
            <sz val="10"/>
            <color indexed="81"/>
            <rFont val="Tahoma"/>
            <family val="2"/>
          </rPr>
          <t xml:space="preserve">27.  Grand Total Amount:  Add expenses from Total of Meals and Lodging to Total of Miscellaneous Expenses. </t>
        </r>
      </text>
    </comment>
    <comment ref="K45" authorId="0" shapeId="0" xr:uid="{00000000-0006-0000-0000-000025000000}">
      <text>
        <r>
          <rPr>
            <sz val="10"/>
            <color indexed="81"/>
            <rFont val="Tahoma"/>
            <family val="2"/>
          </rPr>
          <t>28.  Travel Advance Amount:  Enter the amount of the travel advance received for the trip.  Enter zero (0) if no advance was requested.  Subtract the Advance Amount from the Grand Total Amount.</t>
        </r>
      </text>
    </comment>
    <comment ref="K47" authorId="0" shapeId="0" xr:uid="{00000000-0006-0000-0000-000026000000}">
      <text>
        <r>
          <rPr>
            <sz val="10"/>
            <color indexed="81"/>
            <rFont val="Tahoma"/>
            <family val="2"/>
          </rPr>
          <t>29.  Amount Due Employee/State:  Enter total amount employee owes the State of Oregon (a personal check/money order in the amount due the State must be attached to the Expense Detail Sheet made payable to "State of Oregon") or enter total amount the State of Oregon owes the employee.</t>
        </r>
      </text>
    </comment>
    <comment ref="K49" authorId="0" shapeId="0" xr:uid="{00000000-0006-0000-0000-000027000000}">
      <text>
        <r>
          <rPr>
            <b/>
            <sz val="8"/>
            <color indexed="81"/>
            <rFont val="Tahoma"/>
            <family val="2"/>
          </rPr>
          <t xml:space="preserve">30. Received or Conducted Training:  </t>
        </r>
        <r>
          <rPr>
            <sz val="8"/>
            <color indexed="81"/>
            <rFont val="Tahoma"/>
            <family val="2"/>
          </rPr>
          <t>If this travel was related to training received or conducted, check the appropriate box.  Attach copy of Training Request Form to TEDs.</t>
        </r>
        <r>
          <rPr>
            <sz val="8"/>
            <color indexed="81"/>
            <rFont val="Tahoma"/>
            <family val="2"/>
          </rPr>
          <t xml:space="preserve">
</t>
        </r>
      </text>
    </comment>
    <comment ref="O49" authorId="0" shapeId="0" xr:uid="{00000000-0006-0000-0000-000028000000}">
      <text>
        <r>
          <rPr>
            <b/>
            <sz val="8"/>
            <color indexed="81"/>
            <rFont val="Tahoma"/>
            <family val="2"/>
          </rPr>
          <t xml:space="preserve">X </t>
        </r>
        <r>
          <rPr>
            <sz val="8"/>
            <color indexed="81"/>
            <rFont val="Tahoma"/>
            <family val="2"/>
          </rPr>
          <t>Here if you received training.</t>
        </r>
      </text>
    </comment>
    <comment ref="R49" authorId="0" shapeId="0" xr:uid="{00000000-0006-0000-0000-000029000000}">
      <text>
        <r>
          <rPr>
            <b/>
            <sz val="8"/>
            <color indexed="81"/>
            <rFont val="Tahoma"/>
            <family val="2"/>
          </rPr>
          <t xml:space="preserve">X </t>
        </r>
        <r>
          <rPr>
            <sz val="8"/>
            <color indexed="81"/>
            <rFont val="Tahoma"/>
            <family val="2"/>
          </rPr>
          <t>Here if you conducted a training.</t>
        </r>
      </text>
    </comment>
    <comment ref="G50" authorId="0" shapeId="0" xr:uid="{00000000-0006-0000-0000-00002A000000}">
      <text>
        <r>
          <rPr>
            <sz val="10"/>
            <color indexed="81"/>
            <rFont val="Tahoma"/>
            <family val="2"/>
          </rPr>
          <t>31.  Signature of Employee:  The travel expense detail sheet must be signed by the employee.  (Note the certification that is made upon signing the form.)</t>
        </r>
      </text>
    </comment>
    <comment ref="K50" authorId="0" shapeId="0" xr:uid="{00000000-0006-0000-0000-00002B000000}">
      <text>
        <r>
          <rPr>
            <sz val="10"/>
            <color indexed="81"/>
            <rFont val="Tahoma"/>
            <family val="2"/>
          </rPr>
          <t>32.  Title:  Enter the title of the employee claiming reimbursement.</t>
        </r>
      </text>
    </comment>
    <comment ref="G53" authorId="0" shapeId="0" xr:uid="{00000000-0006-0000-0000-00002C000000}">
      <text>
        <r>
          <rPr>
            <sz val="10"/>
            <color indexed="81"/>
            <rFont val="Tahoma"/>
            <family val="2"/>
          </rPr>
          <t>33.  Approved by:  Each travel expense detail sheet must be approved by or for the head of the employing agency.  (Note the certification that is made upon approval.)</t>
        </r>
      </text>
    </comment>
    <comment ref="K53" authorId="0" shapeId="0" xr:uid="{00000000-0006-0000-0000-00002D000000}">
      <text>
        <r>
          <rPr>
            <sz val="10"/>
            <color indexed="81"/>
            <rFont val="Tahoma"/>
            <family val="2"/>
          </rPr>
          <t>34.  Title:  Enter the title of the person actually approving the expense claimed.</t>
        </r>
      </text>
    </comment>
  </commentList>
</comments>
</file>

<file path=xl/sharedStrings.xml><?xml version="1.0" encoding="utf-8"?>
<sst xmlns="http://schemas.openxmlformats.org/spreadsheetml/2006/main" count="115" uniqueCount="110">
  <si>
    <t>1. Name of Employee</t>
  </si>
  <si>
    <t>2. Agency</t>
  </si>
  <si>
    <t>3. Period (Month and Year)</t>
  </si>
  <si>
    <t>4. Official Station</t>
  </si>
  <si>
    <t>Management Service</t>
  </si>
  <si>
    <t xml:space="preserve">Executive Service </t>
  </si>
  <si>
    <t>Board/Commission Member</t>
  </si>
  <si>
    <t>Volunteer</t>
  </si>
  <si>
    <t>Bargaining Unit Name</t>
  </si>
  <si>
    <t>Other</t>
  </si>
  <si>
    <t>Totals</t>
  </si>
  <si>
    <t>Date</t>
  </si>
  <si>
    <t>I certify that all reimbursements claimed reflect actual duty required expenses or allowances entitled; that no part thereof has been heretofore claimed or will be claimed from any other source.</t>
  </si>
  <si>
    <t>I certify that the above claimed expenses are authorized duty required expenses.  Funds for payment of this claim are available in the approved budget for the period covered and have been allotted for expenditure.</t>
  </si>
  <si>
    <t>17.</t>
  </si>
  <si>
    <t xml:space="preserve">18. </t>
  </si>
  <si>
    <t>Amount</t>
  </si>
  <si>
    <t>Time of Departure</t>
  </si>
  <si>
    <t>Time of Arrival</t>
  </si>
  <si>
    <t>Description</t>
  </si>
  <si>
    <t>Meals and Lodging</t>
  </si>
  <si>
    <t>PCA</t>
  </si>
  <si>
    <t>OBJ</t>
  </si>
  <si>
    <t>8am-5pm</t>
  </si>
  <si>
    <t>to</t>
  </si>
  <si>
    <t>TRAVEL EXPENSE DETAIL SHEET</t>
  </si>
  <si>
    <r>
      <t xml:space="preserve">15.   </t>
    </r>
    <r>
      <rPr>
        <b/>
        <sz val="10"/>
        <rFont val="Arial"/>
        <family val="2"/>
      </rPr>
      <t>Totals</t>
    </r>
  </si>
  <si>
    <r>
      <t xml:space="preserve">16. </t>
    </r>
    <r>
      <rPr>
        <b/>
        <sz val="10"/>
        <rFont val="Arial"/>
        <family val="2"/>
      </rPr>
      <t xml:space="preserve">    (Office Use Only)</t>
    </r>
  </si>
  <si>
    <t>6. Regular Schedule Work Shift</t>
  </si>
  <si>
    <t>7.       Unrepresented</t>
  </si>
  <si>
    <t>9.</t>
  </si>
  <si>
    <t>10.</t>
  </si>
  <si>
    <t>11.</t>
  </si>
  <si>
    <t>12.</t>
  </si>
  <si>
    <t xml:space="preserve">   Individual Meal Reimbursement</t>
  </si>
  <si>
    <t>13.</t>
  </si>
  <si>
    <t>19.</t>
  </si>
  <si>
    <t>21.</t>
  </si>
  <si>
    <t>22.</t>
  </si>
  <si>
    <t>Conducted Training</t>
  </si>
  <si>
    <t>20.</t>
  </si>
  <si>
    <t>23.</t>
  </si>
  <si>
    <t>24. Section Total</t>
  </si>
  <si>
    <t>Total PVM Miles Travelled</t>
  </si>
  <si>
    <t>Home Address:</t>
  </si>
  <si>
    <t xml:space="preserve">Employee ID       </t>
  </si>
  <si>
    <t>Breakfast 25%</t>
  </si>
  <si>
    <t>Lunch  25%</t>
  </si>
  <si>
    <t>Dinner    50%</t>
  </si>
  <si>
    <t>Per Diem/ Full Day</t>
  </si>
  <si>
    <t>Lodging   (Less Tax)</t>
  </si>
  <si>
    <t>STATE OF OREGON</t>
  </si>
  <si>
    <t>Department of Administrative Services</t>
  </si>
  <si>
    <t>5. Division, Work Unit, PCA</t>
  </si>
  <si>
    <t>Miscellaneous Expenses
Fares, Private Mileage, Room Tax, Telephone, Baggage, Other</t>
  </si>
  <si>
    <t>Administrator/Designee if OOS</t>
  </si>
  <si>
    <t>Rate per Mile</t>
  </si>
  <si>
    <t>25. REASON FOR TRAVEL: (Be specific.)</t>
  </si>
  <si>
    <t>26.  Grand Total Amount</t>
  </si>
  <si>
    <t>27.  Travel Advance Amount</t>
  </si>
  <si>
    <t>28.  Amount Due Employee/State</t>
  </si>
  <si>
    <t>29.  Received Training</t>
  </si>
  <si>
    <t>30.   Signature of Employee</t>
  </si>
  <si>
    <t>31.  Title</t>
  </si>
  <si>
    <t>32.  Approved By</t>
  </si>
  <si>
    <t>33.  Title</t>
  </si>
  <si>
    <t>Mobile Work</t>
  </si>
  <si>
    <t>14.</t>
  </si>
  <si>
    <r>
      <t xml:space="preserve">15. </t>
    </r>
    <r>
      <rPr>
        <b/>
        <sz val="10"/>
        <rFont val="Arial"/>
        <family val="2"/>
      </rPr>
      <t>Total</t>
    </r>
    <r>
      <rPr>
        <sz val="10"/>
        <rFont val="Arial"/>
        <family val="2"/>
      </rPr>
      <t xml:space="preserve"> </t>
    </r>
  </si>
  <si>
    <t>8. Work Type Option as approved in Workday</t>
  </si>
  <si>
    <t>INSTRUCTIONS</t>
  </si>
  <si>
    <t>Receipts for all lodging expenses claimed and for miscellaneous expenses over twenty-five dollars must be attached to the original copy of this form. A copy of the approved out-of-state travel authorization must be attached when expenses are claimed for out-of-state travel. Approval and justification for reimbursements over applicable per diems must be attached. The original travel expense and detail sheet should be submitted for payment. Employees should retain a copy for their records.</t>
  </si>
  <si>
    <t>Each state office or employee must indicate if he/she is a member of Unpresented, Management Service, Executive Service, a Board Commission, a Volunteer, or a Bargaining Unit. If a Bargaining Unit Member, indicate the name of the union which represents the employee. Claimants, who are not state employees, indicate “other” with an explanation. If on a job rotation to another agency, please note under “other”.</t>
  </si>
  <si>
    <t>Miscellaneous Expenses: Fares, Private Car Mileage, Room Tax, Telephone Charges, and Other. Identify the exact expense claim. Sample entries are” “Private car mileage – Salem to Portland and return.” “Telephone – Portland to Salem.” “Parking – State car, license E999-000.” Shuttle – Airport to hotel – Chicago.” (Use additional forms, if needed.)</t>
  </si>
  <si>
    <t>Enter the total private vehicle miles travelled.</t>
  </si>
  <si>
    <t>(Calculated Field): This field subtracts out the commute miles if applicable.</t>
  </si>
  <si>
    <t>(Calculated Field): Shows the total of the column.</t>
  </si>
  <si>
    <t>(Calculated Field) Amount Due Employee/State: This field shows the total amount employee owes the State (a personal check/money order made payable to “State of Oregon”) or the total amount the State owes employee.</t>
  </si>
  <si>
    <t xml:space="preserve">(Calculated Field): Grand Total Amount: Adds expenses from Total of Meals and Lodging to Total of Miscellaneous Expenses. </t>
  </si>
  <si>
    <t>Full-time Remote or Hybrid Remote Work</t>
  </si>
  <si>
    <t>N/A - only works in the office</t>
  </si>
  <si>
    <t>These instructions are intended to answer the questions that most frequently arise in this form. Rules for state business travel are published as Chapter 40.10.00 of the Oregon Accounting Manual. That document contains references to the relevant Oregon Revised Statutes.</t>
  </si>
  <si>
    <t>Round Trip Commute Miles</t>
  </si>
  <si>
    <r>
      <rPr>
        <b/>
        <sz val="10"/>
        <rFont val="Arial"/>
        <family val="2"/>
      </rPr>
      <t>Name of Employee</t>
    </r>
    <r>
      <rPr>
        <sz val="10"/>
        <rFont val="Arial"/>
        <family val="2"/>
      </rPr>
      <t>: Enter the name of the employee claiming reimbursement.</t>
    </r>
  </si>
  <si>
    <r>
      <rPr>
        <b/>
        <sz val="10"/>
        <rFont val="Arial"/>
        <family val="2"/>
      </rPr>
      <t>Agency</t>
    </r>
    <r>
      <rPr>
        <sz val="10"/>
        <rFont val="Arial"/>
        <family val="2"/>
      </rPr>
      <t>: Enter the name of the employing agency (i.e., Department of Administrative Services).</t>
    </r>
  </si>
  <si>
    <r>
      <rPr>
        <b/>
        <sz val="10"/>
        <rFont val="Arial"/>
        <family val="2"/>
      </rPr>
      <t>Period</t>
    </r>
    <r>
      <rPr>
        <sz val="10"/>
        <rFont val="Arial"/>
        <family val="2"/>
      </rPr>
      <t>: Enter the month and the year during which the expenses were incurred. (e.g., July 2023).</t>
    </r>
  </si>
  <si>
    <r>
      <rPr>
        <b/>
        <sz val="10"/>
        <rFont val="Arial"/>
        <family val="2"/>
      </rPr>
      <t>Official Station</t>
    </r>
    <r>
      <rPr>
        <sz val="10"/>
        <rFont val="Arial"/>
        <family val="2"/>
      </rPr>
      <t>: Enter the official headquarters of the employee claiming reimbursement.</t>
    </r>
  </si>
  <si>
    <r>
      <rPr>
        <b/>
        <sz val="10"/>
        <rFont val="Arial"/>
        <family val="2"/>
      </rPr>
      <t>Division, Work Unit, or Cost Center</t>
    </r>
    <r>
      <rPr>
        <sz val="10"/>
        <rFont val="Arial"/>
        <family val="2"/>
      </rPr>
      <t>: Enter the organizational work unit to be charged (e.g., Budget and Management Division or Cost Center Number.</t>
    </r>
  </si>
  <si>
    <r>
      <rPr>
        <b/>
        <sz val="10"/>
        <rFont val="Arial"/>
        <family val="2"/>
      </rPr>
      <t>Regular Scheduled Work Shift</t>
    </r>
    <r>
      <rPr>
        <sz val="10"/>
        <rFont val="Arial"/>
        <family val="2"/>
      </rPr>
      <t>: Check the standard 8:00 am to 5:00 pm work schedule or provide the actual schedule start and stop times. If the schedule varies from day to day, attach details to this form.</t>
    </r>
  </si>
  <si>
    <r>
      <rPr>
        <b/>
        <sz val="10"/>
        <rFont val="Arial"/>
        <family val="2"/>
      </rPr>
      <t>Work Type Option as approved in Workday</t>
    </r>
    <r>
      <rPr>
        <sz val="10"/>
        <rFont val="Arial"/>
        <family val="2"/>
      </rPr>
      <t>: Check the box which applies to the employee’s approved work type option in Workday. If the employee only works in the office, selecte "N/A".</t>
    </r>
  </si>
  <si>
    <r>
      <rPr>
        <b/>
        <sz val="10"/>
        <rFont val="Arial"/>
        <family val="2"/>
      </rPr>
      <t>Date</t>
    </r>
    <r>
      <rPr>
        <sz val="10"/>
        <rFont val="Arial"/>
        <family val="2"/>
      </rPr>
      <t>: Make a separate line entry for each day of travel in the month. Enter the start for the day of the month. Use additional forms as necessary.</t>
    </r>
  </si>
  <si>
    <r>
      <rPr>
        <b/>
        <sz val="10"/>
        <rFont val="Arial"/>
        <family val="2"/>
      </rPr>
      <t>Time of Departure</t>
    </r>
    <r>
      <rPr>
        <sz val="10"/>
        <rFont val="Arial"/>
        <family val="2"/>
      </rPr>
      <t>: Enter the time of departure. Round to the nearest hour. When expenses are being claimed, time of departure is required.</t>
    </r>
  </si>
  <si>
    <r>
      <rPr>
        <b/>
        <sz val="10"/>
        <rFont val="Arial"/>
        <family val="2"/>
      </rPr>
      <t>Time of Arriva</t>
    </r>
    <r>
      <rPr>
        <sz val="10"/>
        <rFont val="Arial"/>
        <family val="2"/>
      </rPr>
      <t>l: Enter the time of arrival. Round to the nearest hour. When expenses are being claimed, time of arrival is required.</t>
    </r>
  </si>
  <si>
    <r>
      <rPr>
        <b/>
        <sz val="10"/>
        <rFont val="Arial"/>
        <family val="2"/>
      </rPr>
      <t>Description</t>
    </r>
    <r>
      <rPr>
        <sz val="10"/>
        <rFont val="Arial"/>
        <family val="2"/>
      </rPr>
      <t>: State the destination of travel and location where expenses were incurred. If the expense was incurred in transit, enter “En route to (name of destination).</t>
    </r>
  </si>
  <si>
    <r>
      <rPr>
        <b/>
        <sz val="10"/>
        <rFont val="Arial"/>
        <family val="2"/>
      </rPr>
      <t>Lodging</t>
    </r>
    <r>
      <rPr>
        <sz val="10"/>
        <rFont val="Arial"/>
        <family val="2"/>
      </rPr>
      <t>: Enter the actual cost of lodging, not including room tax (see 18 for room tax reimbursement).</t>
    </r>
  </si>
  <si>
    <r>
      <rPr>
        <b/>
        <sz val="10"/>
        <rFont val="Arial"/>
        <family val="2"/>
      </rPr>
      <t>Total Meals and Lodging</t>
    </r>
    <r>
      <rPr>
        <sz val="10"/>
        <rFont val="Arial"/>
        <family val="2"/>
      </rPr>
      <t>: Enter the total of the amounts shown under Item 12, or under Items 13 and 14 for each day.</t>
    </r>
  </si>
  <si>
    <r>
      <rPr>
        <b/>
        <sz val="10"/>
        <rFont val="Arial"/>
        <family val="2"/>
      </rPr>
      <t>Cost Distribution</t>
    </r>
    <r>
      <rPr>
        <sz val="10"/>
        <rFont val="Arial"/>
        <family val="2"/>
      </rPr>
      <t>: This section is for the use of the fiscal unit of the employing agency to code the distribution of costs.</t>
    </r>
  </si>
  <si>
    <r>
      <rPr>
        <b/>
        <sz val="10"/>
        <rFont val="Arial"/>
        <family val="2"/>
      </rPr>
      <t>Date</t>
    </r>
    <r>
      <rPr>
        <sz val="10"/>
        <rFont val="Arial"/>
        <family val="2"/>
      </rPr>
      <t>: Show the month and day(s) in which the miscellaneous expense(s) is incurred (e.g., 8/5 or 8/5-6).</t>
    </r>
  </si>
  <si>
    <r>
      <rPr>
        <b/>
        <sz val="10"/>
        <rFont val="Arial"/>
        <family val="2"/>
      </rPr>
      <t>Amount</t>
    </r>
    <r>
      <rPr>
        <sz val="10"/>
        <rFont val="Arial"/>
        <family val="2"/>
      </rPr>
      <t>:  Shows the total of the row.</t>
    </r>
  </si>
  <si>
    <r>
      <rPr>
        <b/>
        <sz val="10"/>
        <rFont val="Arial"/>
        <family val="2"/>
      </rPr>
      <t>Reason for Travel</t>
    </r>
    <r>
      <rPr>
        <sz val="10"/>
        <rFont val="Arial"/>
        <family val="2"/>
      </rPr>
      <t xml:space="preserve">: Be specific in stating reason for travel and subsequent expenses incurred (e.g., traveled to Washington, D.C., to meet with congressional delegates on health care issues). </t>
    </r>
  </si>
  <si>
    <r>
      <rPr>
        <b/>
        <sz val="10"/>
        <rFont val="Arial"/>
        <family val="2"/>
      </rPr>
      <t>Travel Advance Amount</t>
    </r>
    <r>
      <rPr>
        <sz val="10"/>
        <rFont val="Arial"/>
        <family val="2"/>
      </rPr>
      <t>: Enter the amount of the travel advance received for the trip. Enter zero (0) if no advance was requested. Subtract the Advance Amount from the Grant Total Amount.</t>
    </r>
  </si>
  <si>
    <r>
      <rPr>
        <b/>
        <sz val="10"/>
        <rFont val="Arial"/>
        <family val="2"/>
      </rPr>
      <t>Received or Conducted Training</t>
    </r>
    <r>
      <rPr>
        <sz val="10"/>
        <rFont val="Arial"/>
        <family val="2"/>
      </rPr>
      <t xml:space="preserve">: If this travel was related to training received or conducted, check the appropriate box. </t>
    </r>
  </si>
  <si>
    <r>
      <rPr>
        <b/>
        <sz val="10"/>
        <rFont val="Arial"/>
        <family val="2"/>
      </rPr>
      <t>Signature of Employee</t>
    </r>
    <r>
      <rPr>
        <sz val="10"/>
        <rFont val="Arial"/>
        <family val="2"/>
      </rPr>
      <t>: The travel expense detail sheet must be signed by the employee. (Note the certification that is made upon signing the form.)</t>
    </r>
  </si>
  <si>
    <r>
      <rPr>
        <b/>
        <sz val="10"/>
        <rFont val="Arial"/>
        <family val="2"/>
      </rPr>
      <t>Title</t>
    </r>
    <r>
      <rPr>
        <sz val="10"/>
        <rFont val="Arial"/>
        <family val="2"/>
      </rPr>
      <t>: Enter the title of the employee claiming reimbursement.</t>
    </r>
  </si>
  <si>
    <r>
      <rPr>
        <b/>
        <sz val="10"/>
        <rFont val="Arial"/>
        <family val="2"/>
      </rPr>
      <t>Approved by</t>
    </r>
    <r>
      <rPr>
        <sz val="10"/>
        <rFont val="Arial"/>
        <family val="2"/>
      </rPr>
      <t>: Each travel expense details sheet must be approved by or for the head of the employing agency. (Note the certification that is made upon signing the form.)</t>
    </r>
  </si>
  <si>
    <r>
      <rPr>
        <b/>
        <sz val="10"/>
        <rFont val="Arial"/>
        <family val="2"/>
      </rPr>
      <t>Title</t>
    </r>
    <r>
      <rPr>
        <sz val="10"/>
        <rFont val="Arial"/>
        <family val="2"/>
      </rPr>
      <t>: Enter the title of the person actually approving the expense claimed.</t>
    </r>
  </si>
  <si>
    <t xml:space="preserve">Reimbursed PVM Miles </t>
  </si>
  <si>
    <r>
      <rPr>
        <b/>
        <sz val="10"/>
        <rFont val="Arial"/>
        <family val="2"/>
      </rPr>
      <t>Per Diem</t>
    </r>
    <r>
      <rPr>
        <sz val="10"/>
        <rFont val="Arial"/>
        <family val="2"/>
      </rPr>
      <t xml:space="preserve">: Enter the applicable daily meal per diem for the travel destination. Enter the amount of individual meal allowance amounts derived from the applicable daily meal per diem for the travel destination when a partial day of travel is being claimed. (e.g., first, and lost day of travel). Per diem amounts stated in OAM 40.10.00 include incidental expenses. There blocks are also used by elected officials or members of boards and commissions claiming “actual and necessary expenses” per DAS travel rules. </t>
    </r>
  </si>
  <si>
    <r>
      <rPr>
        <b/>
        <sz val="10"/>
        <rFont val="Arial"/>
        <family val="2"/>
      </rPr>
      <t>Commute Miles</t>
    </r>
    <r>
      <rPr>
        <sz val="10"/>
        <rFont val="Arial"/>
        <family val="2"/>
      </rPr>
      <t>: Regular, round-trip distance from residence to central workstation or residence to non-residential alternate workstation (agency to determine). Enter deduction for commute miles, as applicable.</t>
    </r>
  </si>
  <si>
    <r>
      <rPr>
        <b/>
        <sz val="10"/>
        <rFont val="Arial"/>
        <family val="2"/>
      </rPr>
      <t>Rate per Mile</t>
    </r>
    <r>
      <rPr>
        <sz val="10"/>
        <rFont val="Arial"/>
        <family val="2"/>
      </rPr>
      <t>: The top 2 rows show the current year rates. Below those are the rates applicable for travel which took place either at different rates or in the prior year.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</si>
</sst>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quot;$&quot;* #,##0.00_);_(&quot;$&quot;* \(#,##0.00\);_(&quot;$&quot;* &quot;-&quot;??_);_(@_)"/>
    <numFmt numFmtId="43" formatCode="_(* #,##0.00_);_(* \(#,##0.00\);_(* &quot;-&quot;??_);_(@_)"/>
    <numFmt numFmtId="164" formatCode="mm/dd/yy"/>
    <numFmt numFmtId="165" formatCode="m/d/yy"/>
    <numFmt numFmtId="166" formatCode="mmmm\-yy"/>
    <numFmt numFmtId="167" formatCode="_(* #,##0.0_);_(* \(#,##0.0\);_(* &quot;-&quot;??_);_(@_)"/>
    <numFmt numFmtId="168" formatCode="_(* #,##0.000_);_(* \(#,##0.000\);_(* &quot;-&quot;??_);_(@_)"/>
    <numFmt numFmtId="169" formatCode="#,##0.0"/>
    <numFmt numFmtId="170" formatCode="#,##0.000_);\(#,##0.000\)"/>
  </numFmts>
  <fonts count="17" x14ac:knownFonts="1">
    <font>
      <sz val="10"/>
      <name val="Arial"/>
    </font>
    <font>
      <sz val="10"/>
      <name val="Arial"/>
      <family val="2"/>
    </font>
    <font>
      <b/>
      <sz val="10"/>
      <name val="Arial"/>
      <family val="2"/>
    </font>
    <font>
      <sz val="8"/>
      <name val="Arial"/>
      <family val="2"/>
    </font>
    <font>
      <b/>
      <sz val="8"/>
      <name val="Arial"/>
      <family val="2"/>
    </font>
    <font>
      <sz val="10"/>
      <name val="Arial"/>
      <family val="2"/>
    </font>
    <font>
      <sz val="12"/>
      <name val="Arial"/>
      <family val="2"/>
    </font>
    <font>
      <sz val="9"/>
      <name val="Arial"/>
      <family val="2"/>
    </font>
    <font>
      <b/>
      <sz val="14"/>
      <name val="Arial"/>
      <family val="2"/>
    </font>
    <font>
      <b/>
      <sz val="12"/>
      <name val="Arial"/>
      <family val="2"/>
    </font>
    <font>
      <u/>
      <sz val="10"/>
      <name val="Arial"/>
      <family val="2"/>
    </font>
    <font>
      <sz val="10"/>
      <color indexed="81"/>
      <name val="Tahoma"/>
      <family val="2"/>
    </font>
    <font>
      <b/>
      <sz val="10"/>
      <color indexed="81"/>
      <name val="Tahoma"/>
      <family val="2"/>
    </font>
    <font>
      <sz val="8"/>
      <color indexed="81"/>
      <name val="Tahoma"/>
      <family val="2"/>
    </font>
    <font>
      <b/>
      <sz val="8"/>
      <color indexed="81"/>
      <name val="Tahoma"/>
      <family val="2"/>
    </font>
    <font>
      <sz val="9"/>
      <color indexed="81"/>
      <name val="Tahoma"/>
      <family val="2"/>
    </font>
    <font>
      <b/>
      <sz val="14"/>
      <color rgb="FFFF0000"/>
      <name val="Arial"/>
      <family val="2"/>
    </font>
  </fonts>
  <fills count="3">
    <fill>
      <patternFill patternType="none"/>
    </fill>
    <fill>
      <patternFill patternType="gray125"/>
    </fill>
    <fill>
      <patternFill patternType="solid">
        <fgColor indexed="63"/>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bottom/>
      <diagonal/>
    </border>
    <border>
      <left/>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right style="medium">
        <color indexed="64"/>
      </right>
      <top/>
      <bottom/>
      <diagonal/>
    </border>
    <border>
      <left/>
      <right style="medium">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style="medium">
        <color indexed="64"/>
      </right>
      <top style="thin">
        <color indexed="64"/>
      </top>
      <bottom/>
      <diagonal/>
    </border>
  </borders>
  <cellStyleXfs count="2">
    <xf numFmtId="0" fontId="0" fillId="0" borderId="0"/>
    <xf numFmtId="43" fontId="1" fillId="0" borderId="0" applyFont="0" applyFill="0" applyBorder="0" applyAlignment="0" applyProtection="0"/>
  </cellStyleXfs>
  <cellXfs count="258">
    <xf numFmtId="0" fontId="0" fillId="0" borderId="0" xfId="0"/>
    <xf numFmtId="0" fontId="0" fillId="0" borderId="0" xfId="0" applyAlignment="1">
      <alignment horizontal="center" vertical="center" wrapText="1"/>
    </xf>
    <xf numFmtId="4" fontId="0" fillId="0" borderId="1" xfId="0" applyNumberFormat="1" applyBorder="1" applyAlignment="1" applyProtection="1">
      <alignment horizontal="center" vertical="center" wrapText="1"/>
      <protection hidden="1"/>
    </xf>
    <xf numFmtId="0" fontId="0" fillId="2" borderId="2" xfId="0" applyFill="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43" fontId="5" fillId="0" borderId="1" xfId="0" applyNumberFormat="1" applyFont="1" applyBorder="1" applyAlignment="1" applyProtection="1">
      <alignment horizontal="center" vertical="center" wrapText="1"/>
      <protection hidden="1"/>
    </xf>
    <xf numFmtId="0" fontId="0" fillId="0" borderId="0" xfId="0" applyAlignment="1">
      <alignment vertical="center" wrapText="1"/>
    </xf>
    <xf numFmtId="0" fontId="3" fillId="0" borderId="0" xfId="0" applyFont="1" applyAlignment="1">
      <alignment vertical="center" wrapText="1"/>
    </xf>
    <xf numFmtId="0" fontId="6" fillId="0" borderId="0" xfId="0" applyFont="1" applyAlignment="1" applyProtection="1">
      <alignment vertical="center" wrapText="1"/>
      <protection locked="0"/>
    </xf>
    <xf numFmtId="0" fontId="3" fillId="0" borderId="0" xfId="0" applyFont="1" applyAlignment="1" applyProtection="1">
      <alignment vertical="center" wrapText="1"/>
      <protection locked="0"/>
    </xf>
    <xf numFmtId="0" fontId="2" fillId="0" borderId="5" xfId="0" applyFont="1" applyBorder="1" applyAlignment="1" applyProtection="1">
      <alignment vertical="center" wrapText="1"/>
      <protection locked="0"/>
    </xf>
    <xf numFmtId="0" fontId="2" fillId="0" borderId="6" xfId="0" applyFont="1" applyBorder="1" applyAlignment="1" applyProtection="1">
      <alignment vertical="center" wrapText="1"/>
      <protection locked="0"/>
    </xf>
    <xf numFmtId="0" fontId="5" fillId="0" borderId="6" xfId="0" applyFont="1" applyBorder="1" applyAlignment="1">
      <alignment vertical="center" wrapText="1"/>
    </xf>
    <xf numFmtId="0" fontId="5" fillId="0" borderId="6" xfId="0" applyFont="1" applyBorder="1" applyAlignment="1">
      <alignment horizontal="center" vertical="center" wrapText="1"/>
    </xf>
    <xf numFmtId="0" fontId="0" fillId="0" borderId="0" xfId="0" applyAlignment="1" applyProtection="1">
      <alignment vertical="center" wrapText="1"/>
      <protection locked="0"/>
    </xf>
    <xf numFmtId="0" fontId="4" fillId="0" borderId="1" xfId="0" applyFont="1" applyBorder="1" applyAlignment="1" applyProtection="1">
      <alignment horizontal="left" vertical="center" wrapText="1"/>
      <protection locked="0"/>
    </xf>
    <xf numFmtId="0" fontId="4" fillId="0" borderId="1" xfId="0" applyFont="1" applyBorder="1" applyAlignment="1" applyProtection="1">
      <alignment horizontal="center" vertical="center" wrapText="1"/>
      <protection locked="0"/>
    </xf>
    <xf numFmtId="0" fontId="3" fillId="0" borderId="0" xfId="0" applyFont="1" applyAlignment="1">
      <alignment horizontal="right" vertical="center" wrapText="1"/>
    </xf>
    <xf numFmtId="0" fontId="4" fillId="0" borderId="1" xfId="0" applyFont="1" applyBorder="1" applyAlignment="1" applyProtection="1">
      <alignment horizontal="right" vertical="center" wrapText="1"/>
      <protection locked="0"/>
    </xf>
    <xf numFmtId="0" fontId="3" fillId="0" borderId="0" xfId="0" applyFont="1" applyAlignment="1" applyProtection="1">
      <alignment horizontal="left" vertical="center" wrapText="1"/>
      <protection locked="0"/>
    </xf>
    <xf numFmtId="0" fontId="4" fillId="0" borderId="1" xfId="0" applyFont="1" applyBorder="1" applyAlignment="1" applyProtection="1">
      <alignment vertical="center" wrapText="1"/>
      <protection locked="0"/>
    </xf>
    <xf numFmtId="0" fontId="4" fillId="0" borderId="4" xfId="0" applyFont="1" applyBorder="1" applyAlignment="1" applyProtection="1">
      <alignment vertical="center" wrapText="1"/>
      <protection locked="0"/>
    </xf>
    <xf numFmtId="0" fontId="3" fillId="0" borderId="7" xfId="0" applyFont="1" applyBorder="1" applyAlignment="1" applyProtection="1">
      <alignment vertical="center" wrapText="1"/>
      <protection locked="0"/>
    </xf>
    <xf numFmtId="0" fontId="3" fillId="0" borderId="9" xfId="0" applyFont="1" applyBorder="1" applyAlignment="1">
      <alignment horizontal="right" vertical="center" wrapText="1"/>
    </xf>
    <xf numFmtId="0" fontId="4" fillId="0" borderId="10" xfId="0" applyFont="1" applyBorder="1" applyAlignment="1" applyProtection="1">
      <alignment vertical="center" wrapText="1"/>
      <protection locked="0"/>
    </xf>
    <xf numFmtId="0" fontId="6" fillId="0" borderId="0" xfId="0" applyFont="1" applyAlignment="1" applyProtection="1">
      <alignment horizontal="center" vertical="center" wrapText="1"/>
      <protection locked="0"/>
    </xf>
    <xf numFmtId="0" fontId="3" fillId="0" borderId="0" xfId="0" applyFont="1" applyAlignment="1" applyProtection="1">
      <alignment horizontal="right" vertical="center" wrapText="1"/>
      <protection locked="0"/>
    </xf>
    <xf numFmtId="0" fontId="4" fillId="0" borderId="0" xfId="0" applyFont="1" applyAlignment="1" applyProtection="1">
      <alignment vertical="center" wrapText="1"/>
      <protection locked="0"/>
    </xf>
    <xf numFmtId="0" fontId="3" fillId="0" borderId="8" xfId="0" applyFont="1" applyBorder="1" applyAlignment="1" applyProtection="1">
      <alignment vertical="center" wrapText="1"/>
      <protection locked="0"/>
    </xf>
    <xf numFmtId="49" fontId="5" fillId="0" borderId="0" xfId="0" applyNumberFormat="1" applyFont="1" applyAlignment="1">
      <alignment horizontal="left" vertical="center" wrapText="1"/>
    </xf>
    <xf numFmtId="49" fontId="5" fillId="0" borderId="12" xfId="0" applyNumberFormat="1" applyFont="1" applyBorder="1" applyAlignment="1">
      <alignment horizontal="left" vertical="center" wrapText="1"/>
    </xf>
    <xf numFmtId="49" fontId="3" fillId="0" borderId="0" xfId="0" applyNumberFormat="1" applyFont="1" applyAlignment="1">
      <alignment vertical="center" wrapText="1"/>
    </xf>
    <xf numFmtId="0" fontId="5" fillId="0" borderId="1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1" xfId="0" applyFont="1" applyBorder="1" applyAlignment="1">
      <alignment horizontal="center" vertical="center" wrapText="1"/>
    </xf>
    <xf numFmtId="0" fontId="3" fillId="0" borderId="0" xfId="0" applyFont="1" applyAlignment="1">
      <alignment horizontal="center" vertical="center" wrapText="1"/>
    </xf>
    <xf numFmtId="164" fontId="5" fillId="0" borderId="5" xfId="0" applyNumberFormat="1" applyFont="1" applyBorder="1" applyAlignment="1" applyProtection="1">
      <alignment horizontal="center" vertical="center" wrapText="1"/>
      <protection locked="0"/>
    </xf>
    <xf numFmtId="18" fontId="5" fillId="0" borderId="5" xfId="0" applyNumberFormat="1" applyFont="1" applyBorder="1" applyAlignment="1" applyProtection="1">
      <alignment horizontal="center" vertical="center" wrapText="1"/>
      <protection locked="0"/>
    </xf>
    <xf numFmtId="18" fontId="5" fillId="0" borderId="2" xfId="0" applyNumberFormat="1" applyFont="1" applyBorder="1" applyAlignment="1" applyProtection="1">
      <alignment horizontal="center" vertical="center" wrapText="1"/>
      <protection locked="0"/>
    </xf>
    <xf numFmtId="4" fontId="5" fillId="0" borderId="2" xfId="0" applyNumberFormat="1" applyFont="1" applyBorder="1" applyAlignment="1" applyProtection="1">
      <alignment horizontal="center" vertical="center" wrapText="1"/>
      <protection locked="0"/>
    </xf>
    <xf numFmtId="43" fontId="5" fillId="0" borderId="13" xfId="0" applyNumberFormat="1" applyFont="1" applyBorder="1" applyAlignment="1" applyProtection="1">
      <alignment horizontal="center" vertical="center" wrapText="1"/>
      <protection locked="0"/>
    </xf>
    <xf numFmtId="164" fontId="5" fillId="0" borderId="2" xfId="0" applyNumberFormat="1" applyFont="1" applyBorder="1" applyAlignment="1" applyProtection="1">
      <alignment horizontal="center" vertical="center" wrapText="1"/>
      <protection locked="0"/>
    </xf>
    <xf numFmtId="43" fontId="5" fillId="0" borderId="1" xfId="0" applyNumberFormat="1" applyFont="1" applyBorder="1" applyAlignment="1" applyProtection="1">
      <alignment horizontal="center" vertical="center" wrapText="1"/>
      <protection locked="0"/>
    </xf>
    <xf numFmtId="164" fontId="5" fillId="0" borderId="12" xfId="0" applyNumberFormat="1" applyFont="1" applyBorder="1" applyAlignment="1" applyProtection="1">
      <alignment horizontal="center" vertical="center" wrapText="1"/>
      <protection locked="0"/>
    </xf>
    <xf numFmtId="18" fontId="5" fillId="0" borderId="12" xfId="0" applyNumberFormat="1" applyFont="1" applyBorder="1" applyAlignment="1" applyProtection="1">
      <alignment horizontal="center" vertical="center" wrapText="1"/>
      <protection locked="0"/>
    </xf>
    <xf numFmtId="49" fontId="3" fillId="0" borderId="0" xfId="0" applyNumberFormat="1" applyFont="1" applyAlignment="1">
      <alignment horizontal="left" vertical="center" wrapText="1"/>
    </xf>
    <xf numFmtId="0" fontId="5" fillId="0" borderId="10" xfId="0" applyFont="1" applyBorder="1" applyAlignment="1" applyProtection="1">
      <alignment horizontal="left" vertical="center" wrapText="1"/>
      <protection locked="0"/>
    </xf>
    <xf numFmtId="0" fontId="5" fillId="0" borderId="14" xfId="0" applyFont="1" applyBorder="1" applyAlignment="1" applyProtection="1">
      <alignment horizontal="left" vertical="center" wrapText="1"/>
      <protection locked="0"/>
    </xf>
    <xf numFmtId="49" fontId="2" fillId="0" borderId="15" xfId="0" applyNumberFormat="1" applyFont="1" applyBorder="1" applyAlignment="1" applyProtection="1">
      <alignment horizontal="center" vertical="center" wrapText="1"/>
      <protection locked="0"/>
    </xf>
    <xf numFmtId="49" fontId="2" fillId="0" borderId="1" xfId="0" applyNumberFormat="1" applyFont="1" applyBorder="1" applyAlignment="1" applyProtection="1">
      <alignment horizontal="center" vertical="center" wrapText="1"/>
      <protection locked="0"/>
    </xf>
    <xf numFmtId="164" fontId="5" fillId="0" borderId="4" xfId="0" applyNumberFormat="1" applyFont="1" applyBorder="1" applyAlignment="1" applyProtection="1">
      <alignment horizontal="center" vertical="center" wrapText="1"/>
      <protection locked="0"/>
    </xf>
    <xf numFmtId="167" fontId="5" fillId="0" borderId="1" xfId="1" applyNumberFormat="1" applyFont="1" applyBorder="1" applyAlignment="1" applyProtection="1">
      <alignment horizontal="center" vertical="center" wrapText="1"/>
      <protection locked="0"/>
    </xf>
    <xf numFmtId="0" fontId="5" fillId="2" borderId="16" xfId="0" applyFont="1" applyFill="1" applyBorder="1" applyAlignment="1">
      <alignment vertical="center" wrapText="1"/>
    </xf>
    <xf numFmtId="0" fontId="2" fillId="0" borderId="12" xfId="0" applyFont="1" applyBorder="1" applyAlignment="1">
      <alignment horizontal="center" vertical="center" wrapText="1"/>
    </xf>
    <xf numFmtId="0" fontId="5" fillId="2" borderId="17" xfId="0" applyFont="1" applyFill="1" applyBorder="1" applyAlignment="1">
      <alignment vertical="center" wrapText="1"/>
    </xf>
    <xf numFmtId="168" fontId="5" fillId="0" borderId="2" xfId="1" applyNumberFormat="1" applyFont="1" applyBorder="1" applyAlignment="1" applyProtection="1">
      <alignment horizontal="center" vertical="center" wrapText="1"/>
      <protection locked="0"/>
    </xf>
    <xf numFmtId="43" fontId="5" fillId="0" borderId="2" xfId="1" applyFont="1" applyBorder="1" applyAlignment="1" applyProtection="1">
      <alignment horizontal="center" vertical="center" wrapText="1"/>
      <protection locked="0"/>
    </xf>
    <xf numFmtId="170" fontId="5" fillId="0" borderId="2" xfId="1" applyNumberFormat="1" applyFont="1" applyFill="1" applyBorder="1" applyAlignment="1" applyProtection="1">
      <alignment horizontal="right" vertical="center" wrapText="1"/>
      <protection locked="0"/>
    </xf>
    <xf numFmtId="0" fontId="3" fillId="0" borderId="7" xfId="0" applyFont="1" applyBorder="1" applyAlignment="1" applyProtection="1">
      <alignment horizontal="right" vertical="center" wrapText="1"/>
      <protection locked="0"/>
    </xf>
    <xf numFmtId="0" fontId="0" fillId="0" borderId="8" xfId="0" applyBorder="1" applyAlignment="1" applyProtection="1">
      <alignment vertical="center" wrapText="1"/>
      <protection locked="0"/>
    </xf>
    <xf numFmtId="0" fontId="0" fillId="0" borderId="7" xfId="0" applyBorder="1" applyAlignment="1" applyProtection="1">
      <alignment vertical="center" wrapText="1"/>
      <protection locked="0"/>
    </xf>
    <xf numFmtId="49" fontId="1" fillId="0" borderId="11" xfId="0" applyNumberFormat="1" applyFont="1" applyBorder="1" applyAlignment="1">
      <alignment vertical="center" wrapText="1"/>
    </xf>
    <xf numFmtId="49" fontId="1" fillId="0" borderId="12" xfId="0" applyNumberFormat="1" applyFont="1" applyBorder="1" applyAlignment="1">
      <alignment horizontal="left" vertical="center" wrapText="1"/>
    </xf>
    <xf numFmtId="0" fontId="0" fillId="0" borderId="5" xfId="0" applyBorder="1" applyAlignment="1" applyProtection="1">
      <alignment vertical="center" wrapText="1"/>
      <protection locked="0"/>
    </xf>
    <xf numFmtId="0" fontId="0" fillId="0" borderId="6" xfId="0" applyBorder="1" applyAlignment="1" applyProtection="1">
      <alignment vertical="center" wrapText="1"/>
      <protection locked="0"/>
    </xf>
    <xf numFmtId="0" fontId="0" fillId="0" borderId="1" xfId="0" applyBorder="1" applyAlignment="1" applyProtection="1">
      <alignment vertical="center" wrapText="1"/>
      <protection locked="0"/>
    </xf>
    <xf numFmtId="0" fontId="0" fillId="0" borderId="9" xfId="0" applyBorder="1" applyAlignment="1" applyProtection="1">
      <alignment vertical="center" wrapText="1"/>
      <protection locked="0"/>
    </xf>
    <xf numFmtId="0" fontId="16" fillId="0" borderId="0" xfId="0" applyFont="1" applyAlignment="1" applyProtection="1">
      <alignment vertical="center"/>
      <protection locked="0"/>
    </xf>
    <xf numFmtId="0" fontId="0" fillId="0" borderId="0" xfId="0" applyAlignment="1">
      <alignment wrapText="1"/>
    </xf>
    <xf numFmtId="0" fontId="0" fillId="0" borderId="0" xfId="0" applyAlignment="1">
      <alignment horizontal="center" wrapText="1"/>
    </xf>
    <xf numFmtId="0" fontId="0" fillId="0" borderId="0" xfId="0" applyAlignment="1">
      <alignment horizontal="left"/>
    </xf>
    <xf numFmtId="0" fontId="0" fillId="0" borderId="0" xfId="0" applyAlignment="1">
      <alignment horizontal="center"/>
    </xf>
    <xf numFmtId="0" fontId="0" fillId="0" borderId="0" xfId="0" applyAlignment="1">
      <alignment horizontal="center" vertical="top" wrapText="1"/>
    </xf>
    <xf numFmtId="0" fontId="0" fillId="0" borderId="0" xfId="0" applyAlignment="1">
      <alignment horizontal="center" vertical="top"/>
    </xf>
    <xf numFmtId="0" fontId="1" fillId="0" borderId="1" xfId="0" applyFont="1" applyBorder="1" applyAlignment="1" applyProtection="1">
      <alignment vertical="center" wrapText="1"/>
      <protection locked="0"/>
    </xf>
    <xf numFmtId="20" fontId="10" fillId="0" borderId="6" xfId="0" applyNumberFormat="1" applyFont="1" applyBorder="1" applyAlignment="1" applyProtection="1">
      <alignment vertical="center" wrapText="1"/>
      <protection locked="0"/>
    </xf>
    <xf numFmtId="20" fontId="10" fillId="0" borderId="7" xfId="0" applyNumberFormat="1" applyFont="1" applyBorder="1" applyAlignment="1" applyProtection="1">
      <alignment vertical="center" wrapText="1"/>
      <protection locked="0"/>
    </xf>
    <xf numFmtId="43" fontId="2" fillId="0" borderId="2" xfId="0" applyNumberFormat="1" applyFont="1" applyBorder="1" applyAlignment="1" applyProtection="1">
      <alignment horizontal="center" vertical="center" wrapText="1"/>
      <protection locked="0"/>
    </xf>
    <xf numFmtId="43" fontId="2" fillId="0" borderId="22" xfId="0" applyNumberFormat="1" applyFont="1" applyBorder="1" applyAlignment="1" applyProtection="1">
      <alignment horizontal="center" vertical="center" wrapText="1"/>
      <protection locked="0"/>
    </xf>
    <xf numFmtId="169" fontId="5" fillId="0" borderId="2" xfId="0" applyNumberFormat="1" applyFont="1" applyBorder="1" applyAlignment="1">
      <alignment horizontal="center" vertical="center" wrapText="1"/>
    </xf>
    <xf numFmtId="169" fontId="5" fillId="0" borderId="4" xfId="0" applyNumberFormat="1" applyFont="1" applyBorder="1" applyAlignment="1">
      <alignment horizontal="center" vertical="center" wrapText="1"/>
    </xf>
    <xf numFmtId="164" fontId="0" fillId="0" borderId="0" xfId="0" applyNumberFormat="1" applyAlignment="1" applyProtection="1">
      <alignment horizontal="center" vertical="center" wrapText="1"/>
      <protection locked="0"/>
    </xf>
    <xf numFmtId="164" fontId="0" fillId="0" borderId="8" xfId="0" applyNumberFormat="1" applyBorder="1" applyAlignment="1" applyProtection="1">
      <alignment horizontal="center" vertical="center" wrapText="1"/>
      <protection locked="0"/>
    </xf>
    <xf numFmtId="43" fontId="5" fillId="0" borderId="2" xfId="0" applyNumberFormat="1" applyFont="1" applyBorder="1" applyAlignment="1" applyProtection="1">
      <alignment horizontal="center" vertical="center" wrapText="1"/>
      <protection locked="0"/>
    </xf>
    <xf numFmtId="43" fontId="5" fillId="0" borderId="3" xfId="0" applyNumberFormat="1" applyFont="1" applyBorder="1" applyAlignment="1" applyProtection="1">
      <alignment horizontal="center" vertical="center" wrapText="1"/>
      <protection locked="0"/>
    </xf>
    <xf numFmtId="43" fontId="5" fillId="0" borderId="4" xfId="0" applyNumberFormat="1" applyFont="1" applyBorder="1" applyAlignment="1" applyProtection="1">
      <alignment horizontal="center" vertical="center" wrapText="1"/>
      <protection locked="0"/>
    </xf>
    <xf numFmtId="0" fontId="0" fillId="0" borderId="9" xfId="0" applyBorder="1" applyAlignment="1" applyProtection="1">
      <alignment horizontal="center" vertical="center" wrapText="1"/>
      <protection locked="0"/>
    </xf>
    <xf numFmtId="0" fontId="0" fillId="0" borderId="0" xfId="0" applyAlignment="1" applyProtection="1">
      <alignment horizontal="center" vertical="center" wrapText="1"/>
      <protection locked="0"/>
    </xf>
    <xf numFmtId="0" fontId="0" fillId="0" borderId="8" xfId="0"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0" fontId="0" fillId="0" borderId="6" xfId="0" applyBorder="1" applyAlignment="1" applyProtection="1">
      <alignment horizontal="center" vertical="center" wrapText="1"/>
      <protection locked="0"/>
    </xf>
    <xf numFmtId="0" fontId="0" fillId="0" borderId="7" xfId="0" applyBorder="1" applyAlignment="1" applyProtection="1">
      <alignment horizontal="center" vertical="center" wrapText="1"/>
      <protection locked="0"/>
    </xf>
    <xf numFmtId="0" fontId="6" fillId="0" borderId="2" xfId="0" applyFont="1" applyBorder="1" applyAlignment="1" applyProtection="1">
      <alignment horizontal="left" vertical="center" wrapText="1"/>
      <protection locked="0"/>
    </xf>
    <xf numFmtId="0" fontId="6" fillId="0" borderId="3" xfId="0" applyFont="1" applyBorder="1" applyAlignment="1" applyProtection="1">
      <alignment horizontal="left" vertical="center" wrapText="1"/>
      <protection locked="0"/>
    </xf>
    <xf numFmtId="0" fontId="0" fillId="0" borderId="4" xfId="0" applyBorder="1" applyAlignment="1">
      <alignment vertical="center" wrapText="1"/>
    </xf>
    <xf numFmtId="167" fontId="5" fillId="0" borderId="2" xfId="1" applyNumberFormat="1" applyFont="1" applyBorder="1" applyAlignment="1" applyProtection="1">
      <alignment horizontal="center" vertical="center" wrapText="1"/>
      <protection locked="0"/>
    </xf>
    <xf numFmtId="167" fontId="5" fillId="0" borderId="4" xfId="1" applyNumberFormat="1" applyFont="1" applyBorder="1" applyAlignment="1" applyProtection="1">
      <alignment horizontal="center" vertical="center" wrapText="1"/>
      <protection locked="0"/>
    </xf>
    <xf numFmtId="0" fontId="6" fillId="0" borderId="5" xfId="0" applyFont="1" applyBorder="1" applyAlignment="1" applyProtection="1">
      <alignment horizontal="left" vertical="center" wrapText="1"/>
      <protection locked="0"/>
    </xf>
    <xf numFmtId="0" fontId="6" fillId="0" borderId="6" xfId="0" applyFont="1" applyBorder="1" applyAlignment="1" applyProtection="1">
      <alignment horizontal="left" vertical="center" wrapText="1"/>
      <protection locked="0"/>
    </xf>
    <xf numFmtId="0" fontId="0" fillId="0" borderId="7" xfId="0" applyBorder="1" applyAlignment="1">
      <alignment vertical="center" wrapText="1"/>
    </xf>
    <xf numFmtId="0" fontId="0" fillId="0" borderId="10" xfId="0" applyBorder="1" applyAlignment="1">
      <alignment horizontal="center" vertical="center" wrapText="1"/>
    </xf>
    <xf numFmtId="0" fontId="0" fillId="0" borderId="14" xfId="0" applyBorder="1" applyAlignment="1">
      <alignment horizontal="center" vertical="center" wrapText="1"/>
    </xf>
    <xf numFmtId="44" fontId="8" fillId="0" borderId="10" xfId="0" applyNumberFormat="1" applyFont="1" applyBorder="1" applyAlignment="1">
      <alignment horizontal="center" vertical="center" wrapText="1"/>
    </xf>
    <xf numFmtId="44" fontId="8" fillId="0" borderId="14" xfId="0" applyNumberFormat="1" applyFont="1" applyBorder="1" applyAlignment="1">
      <alignment horizontal="center" vertical="center" wrapText="1"/>
    </xf>
    <xf numFmtId="44" fontId="8" fillId="0" borderId="6" xfId="0" applyNumberFormat="1" applyFont="1" applyBorder="1" applyAlignment="1">
      <alignment horizontal="center" vertical="center" wrapText="1"/>
    </xf>
    <xf numFmtId="44" fontId="8" fillId="0" borderId="7" xfId="0" applyNumberFormat="1" applyFont="1" applyBorder="1" applyAlignment="1">
      <alignment horizontal="center" vertical="center" wrapText="1"/>
    </xf>
    <xf numFmtId="43" fontId="2" fillId="0" borderId="12" xfId="0" applyNumberFormat="1" applyFont="1" applyBorder="1" applyAlignment="1">
      <alignment horizontal="center" vertical="center" wrapText="1"/>
    </xf>
    <xf numFmtId="43" fontId="2" fillId="0" borderId="25" xfId="0" applyNumberFormat="1" applyFont="1" applyBorder="1" applyAlignment="1">
      <alignment horizontal="center" vertical="center" wrapText="1"/>
    </xf>
    <xf numFmtId="0" fontId="3" fillId="0" borderId="12" xfId="0" applyFont="1" applyBorder="1" applyAlignment="1">
      <alignment horizontal="justify" vertical="center" wrapText="1"/>
    </xf>
    <xf numFmtId="0" fontId="3" fillId="0" borderId="10" xfId="0" applyFont="1" applyBorder="1" applyAlignment="1">
      <alignment horizontal="justify" vertical="center" wrapText="1"/>
    </xf>
    <xf numFmtId="0" fontId="0" fillId="0" borderId="14" xfId="0" applyBorder="1" applyAlignment="1">
      <alignment vertical="center" wrapText="1"/>
    </xf>
    <xf numFmtId="0" fontId="3" fillId="0" borderId="9" xfId="0" applyFont="1" applyBorder="1" applyAlignment="1">
      <alignment horizontal="justify" vertical="center" wrapText="1"/>
    </xf>
    <xf numFmtId="0" fontId="3" fillId="0" borderId="0" xfId="0" applyFont="1" applyAlignment="1">
      <alignment horizontal="justify" vertical="center" wrapText="1"/>
    </xf>
    <xf numFmtId="0" fontId="0" fillId="0" borderId="8" xfId="0" applyBorder="1" applyAlignment="1">
      <alignment vertical="center" wrapText="1"/>
    </xf>
    <xf numFmtId="0" fontId="3" fillId="0" borderId="5" xfId="0" applyFont="1" applyBorder="1" applyAlignment="1">
      <alignment horizontal="justify" vertical="center" wrapText="1"/>
    </xf>
    <xf numFmtId="0" fontId="3" fillId="0" borderId="6" xfId="0" applyFont="1" applyBorder="1" applyAlignment="1">
      <alignment horizontal="justify"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3" fillId="0" borderId="2" xfId="0" applyFont="1" applyBorder="1" applyAlignment="1">
      <alignment vertical="center"/>
    </xf>
    <xf numFmtId="0" fontId="0" fillId="0" borderId="3" xfId="0" applyBorder="1" applyAlignment="1">
      <alignment vertical="center"/>
    </xf>
    <xf numFmtId="0" fontId="0" fillId="0" borderId="4" xfId="0" applyBorder="1" applyAlignment="1">
      <alignment vertical="center"/>
    </xf>
    <xf numFmtId="0" fontId="0" fillId="0" borderId="9" xfId="0" applyBorder="1" applyAlignment="1" applyProtection="1">
      <alignment horizontal="left" vertical="center" wrapText="1"/>
      <protection locked="0"/>
    </xf>
    <xf numFmtId="0" fontId="0" fillId="0" borderId="0" xfId="0" applyAlignment="1" applyProtection="1">
      <alignment horizontal="left" vertical="center" wrapText="1"/>
      <protection locked="0"/>
    </xf>
    <xf numFmtId="0" fontId="0" fillId="0" borderId="5" xfId="0" applyBorder="1" applyAlignment="1" applyProtection="1">
      <alignment horizontal="left" vertical="center" wrapText="1"/>
      <protection locked="0"/>
    </xf>
    <xf numFmtId="0" fontId="0" fillId="0" borderId="6" xfId="0" applyBorder="1" applyAlignment="1" applyProtection="1">
      <alignment horizontal="left" vertical="center" wrapText="1"/>
      <protection locked="0"/>
    </xf>
    <xf numFmtId="164" fontId="0" fillId="0" borderId="6" xfId="0" applyNumberFormat="1" applyBorder="1" applyAlignment="1" applyProtection="1">
      <alignment horizontal="center" vertical="center" wrapText="1"/>
      <protection locked="0"/>
    </xf>
    <xf numFmtId="164" fontId="0" fillId="0" borderId="7" xfId="0" applyNumberFormat="1" applyBorder="1" applyAlignment="1" applyProtection="1">
      <alignment horizontal="center" vertical="center" wrapText="1"/>
      <protection locked="0"/>
    </xf>
    <xf numFmtId="49" fontId="0" fillId="0" borderId="12" xfId="0" applyNumberFormat="1" applyBorder="1" applyAlignment="1">
      <alignment horizontal="left" vertical="center" wrapText="1"/>
    </xf>
    <xf numFmtId="49" fontId="0" fillId="0" borderId="10" xfId="0" applyNumberFormat="1" applyBorder="1" applyAlignment="1">
      <alignment horizontal="left" vertical="center" wrapText="1"/>
    </xf>
    <xf numFmtId="49" fontId="0" fillId="0" borderId="5" xfId="0" applyNumberFormat="1" applyBorder="1" applyAlignment="1">
      <alignment horizontal="left" vertical="center" wrapText="1"/>
    </xf>
    <xf numFmtId="49" fontId="0" fillId="0" borderId="6" xfId="0" applyNumberFormat="1" applyBorder="1" applyAlignment="1">
      <alignment horizontal="left" vertical="center" wrapText="1"/>
    </xf>
    <xf numFmtId="0" fontId="5" fillId="2" borderId="3" xfId="0" applyFont="1" applyFill="1" applyBorder="1" applyAlignment="1">
      <alignment horizontal="center" vertical="center" wrapText="1"/>
    </xf>
    <xf numFmtId="0" fontId="2" fillId="0" borderId="3" xfId="0" applyFont="1" applyBorder="1" applyAlignment="1">
      <alignment horizontal="left" vertical="center" wrapText="1"/>
    </xf>
    <xf numFmtId="0" fontId="2" fillId="0" borderId="14" xfId="0" applyFont="1" applyBorder="1" applyAlignment="1">
      <alignment horizontal="left" vertical="center" wrapText="1"/>
    </xf>
    <xf numFmtId="49" fontId="5" fillId="0" borderId="12" xfId="0" applyNumberFormat="1" applyFont="1" applyBorder="1" applyAlignment="1">
      <alignment horizontal="left" vertical="center" wrapText="1"/>
    </xf>
    <xf numFmtId="49" fontId="5" fillId="0" borderId="14" xfId="0" applyNumberFormat="1" applyFont="1" applyBorder="1" applyAlignment="1">
      <alignment horizontal="left" vertical="center" wrapText="1"/>
    </xf>
    <xf numFmtId="0" fontId="7" fillId="0" borderId="3" xfId="0" applyFont="1" applyBorder="1" applyAlignment="1" applyProtection="1">
      <alignment horizontal="center" vertical="center" wrapText="1"/>
      <protection locked="0"/>
    </xf>
    <xf numFmtId="49" fontId="5" fillId="0" borderId="10" xfId="0" applyNumberFormat="1" applyFont="1" applyBorder="1" applyAlignment="1">
      <alignment horizontal="left" vertical="center" wrapText="1"/>
    </xf>
    <xf numFmtId="44" fontId="0" fillId="0" borderId="10" xfId="0" applyNumberFormat="1" applyBorder="1" applyAlignment="1" applyProtection="1">
      <alignment horizontal="center" vertical="center" wrapText="1"/>
      <protection locked="0"/>
    </xf>
    <xf numFmtId="44" fontId="0" fillId="0" borderId="14" xfId="0" applyNumberFormat="1" applyBorder="1" applyAlignment="1" applyProtection="1">
      <alignment horizontal="center" vertical="center" wrapText="1"/>
      <protection locked="0"/>
    </xf>
    <xf numFmtId="44" fontId="0" fillId="0" borderId="6" xfId="0" applyNumberFormat="1" applyBorder="1" applyAlignment="1" applyProtection="1">
      <alignment horizontal="center" vertical="center" wrapText="1"/>
      <protection locked="0"/>
    </xf>
    <xf numFmtId="44" fontId="0" fillId="0" borderId="7" xfId="0" applyNumberFormat="1" applyBorder="1" applyAlignment="1" applyProtection="1">
      <alignment horizontal="center" vertical="center" wrapText="1"/>
      <protection locked="0"/>
    </xf>
    <xf numFmtId="0" fontId="0" fillId="0" borderId="12" xfId="0" applyBorder="1" applyAlignment="1">
      <alignment horizontal="left" vertical="center" wrapText="1"/>
    </xf>
    <xf numFmtId="0" fontId="0" fillId="0" borderId="10" xfId="0" applyBorder="1" applyAlignment="1">
      <alignment horizontal="left" vertical="center" wrapText="1"/>
    </xf>
    <xf numFmtId="0" fontId="1" fillId="0" borderId="9" xfId="0" applyFont="1" applyBorder="1" applyAlignment="1" applyProtection="1">
      <alignment horizontal="center" vertical="center" wrapText="1"/>
      <protection locked="0"/>
    </xf>
    <xf numFmtId="49" fontId="0" fillId="0" borderId="14" xfId="0" applyNumberFormat="1" applyBorder="1" applyAlignment="1">
      <alignment horizontal="left" vertical="center" wrapText="1"/>
    </xf>
    <xf numFmtId="165" fontId="5" fillId="0" borderId="2" xfId="0" applyNumberFormat="1" applyFont="1" applyBorder="1" applyAlignment="1" applyProtection="1">
      <alignment horizontal="center" vertical="center" wrapText="1"/>
      <protection locked="0"/>
    </xf>
    <xf numFmtId="165" fontId="5" fillId="0" borderId="3" xfId="0" applyNumberFormat="1" applyFont="1" applyBorder="1" applyAlignment="1" applyProtection="1">
      <alignment horizontal="center" vertical="center" wrapText="1"/>
      <protection locked="0"/>
    </xf>
    <xf numFmtId="49" fontId="0" fillId="0" borderId="10" xfId="0" applyNumberFormat="1" applyBorder="1" applyAlignment="1">
      <alignment horizontal="center" vertical="center" wrapText="1"/>
    </xf>
    <xf numFmtId="49" fontId="0" fillId="0" borderId="14" xfId="0" applyNumberFormat="1" applyBorder="1" applyAlignment="1">
      <alignment horizontal="center" vertical="center" wrapText="1"/>
    </xf>
    <xf numFmtId="43" fontId="9" fillId="0" borderId="5" xfId="0" applyNumberFormat="1" applyFont="1" applyBorder="1" applyAlignment="1" applyProtection="1">
      <alignment horizontal="center" vertical="center" wrapText="1"/>
      <protection hidden="1"/>
    </xf>
    <xf numFmtId="43" fontId="9" fillId="0" borderId="6" xfId="0" applyNumberFormat="1" applyFont="1" applyBorder="1" applyAlignment="1" applyProtection="1">
      <alignment horizontal="center" vertical="center" wrapText="1"/>
      <protection hidden="1"/>
    </xf>
    <xf numFmtId="43" fontId="9" fillId="0" borderId="7" xfId="0" applyNumberFormat="1" applyFont="1" applyBorder="1" applyAlignment="1" applyProtection="1">
      <alignment horizontal="center" vertical="center" wrapText="1"/>
      <protection hidden="1"/>
    </xf>
    <xf numFmtId="43" fontId="5" fillId="0" borderId="2" xfId="0" applyNumberFormat="1" applyFont="1" applyBorder="1" applyAlignment="1" applyProtection="1">
      <alignment horizontal="center" vertical="center" wrapText="1"/>
      <protection hidden="1"/>
    </xf>
    <xf numFmtId="43" fontId="5" fillId="0" borderId="4" xfId="0" applyNumberFormat="1" applyFont="1" applyBorder="1" applyAlignment="1" applyProtection="1">
      <alignment horizontal="center" vertical="center" wrapText="1"/>
      <protection hidden="1"/>
    </xf>
    <xf numFmtId="0" fontId="5" fillId="0" borderId="2" xfId="0" applyFont="1" applyBorder="1" applyAlignment="1" applyProtection="1">
      <alignment horizontal="left" vertical="center" wrapText="1"/>
      <protection locked="0"/>
    </xf>
    <xf numFmtId="0" fontId="5" fillId="0" borderId="3" xfId="0" applyFont="1" applyBorder="1" applyAlignment="1" applyProtection="1">
      <alignment horizontal="left" vertical="center" wrapText="1"/>
      <protection locked="0"/>
    </xf>
    <xf numFmtId="43" fontId="2" fillId="0" borderId="14" xfId="0" applyNumberFormat="1" applyFont="1" applyBorder="1" applyAlignment="1">
      <alignment horizontal="center" vertical="center" wrapText="1"/>
    </xf>
    <xf numFmtId="0" fontId="5" fillId="0" borderId="4" xfId="0" applyFont="1" applyBorder="1" applyAlignment="1" applyProtection="1">
      <alignment horizontal="left" vertical="center" wrapText="1"/>
      <protection locked="0"/>
    </xf>
    <xf numFmtId="0" fontId="5" fillId="0" borderId="11" xfId="0" applyFont="1" applyBorder="1" applyAlignment="1">
      <alignment horizontal="center" vertical="center" wrapText="1"/>
    </xf>
    <xf numFmtId="0" fontId="5" fillId="0" borderId="13" xfId="0" applyFont="1" applyBorder="1" applyAlignment="1">
      <alignment horizontal="center" vertical="center" wrapText="1"/>
    </xf>
    <xf numFmtId="0" fontId="5" fillId="0" borderId="9" xfId="0" applyFont="1" applyBorder="1" applyAlignment="1">
      <alignment horizontal="center" vertical="center" wrapText="1"/>
    </xf>
    <xf numFmtId="0" fontId="5" fillId="0" borderId="8" xfId="0" applyFont="1" applyBorder="1" applyAlignment="1">
      <alignment horizontal="center" vertical="center" wrapText="1"/>
    </xf>
    <xf numFmtId="0" fontId="5" fillId="0" borderId="5" xfId="0" applyFont="1" applyBorder="1" applyAlignment="1">
      <alignment horizontal="center" vertical="center" wrapText="1"/>
    </xf>
    <xf numFmtId="0" fontId="5" fillId="0" borderId="7" xfId="0" applyFont="1" applyBorder="1" applyAlignment="1">
      <alignment horizontal="center" vertical="center" wrapText="1"/>
    </xf>
    <xf numFmtId="0" fontId="3" fillId="0" borderId="0" xfId="0" applyFont="1" applyAlignment="1">
      <alignment horizontal="right" vertical="center" wrapText="1"/>
    </xf>
    <xf numFmtId="0" fontId="3" fillId="0" borderId="9" xfId="0" applyFont="1" applyBorder="1" applyAlignment="1">
      <alignment horizontal="center" vertical="center" wrapText="1"/>
    </xf>
    <xf numFmtId="0" fontId="3" fillId="0" borderId="0" xfId="0" applyFont="1" applyAlignment="1">
      <alignment horizontal="center" vertical="center" wrapText="1"/>
    </xf>
    <xf numFmtId="0" fontId="3" fillId="0" borderId="8" xfId="0" applyFont="1" applyBorder="1" applyAlignment="1">
      <alignment horizontal="center" vertical="center" wrapText="1"/>
    </xf>
    <xf numFmtId="49" fontId="1" fillId="0" borderId="12" xfId="0" applyNumberFormat="1" applyFont="1" applyBorder="1" applyAlignment="1">
      <alignment horizontal="left"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4" xfId="0" applyFont="1" applyBorder="1" applyAlignment="1">
      <alignment horizontal="center" vertical="center" wrapText="1"/>
    </xf>
    <xf numFmtId="18" fontId="5" fillId="0" borderId="2" xfId="0" applyNumberFormat="1" applyFont="1" applyBorder="1" applyAlignment="1" applyProtection="1">
      <alignment horizontal="center" vertical="center" wrapText="1"/>
      <protection locked="0"/>
    </xf>
    <xf numFmtId="18" fontId="5" fillId="0" borderId="4" xfId="0" applyNumberFormat="1" applyFont="1" applyBorder="1" applyAlignment="1" applyProtection="1">
      <alignment horizontal="center" vertical="center" wrapText="1"/>
      <protection locked="0"/>
    </xf>
    <xf numFmtId="0" fontId="5" fillId="0" borderId="14" xfId="0" applyFont="1" applyBorder="1" applyAlignment="1">
      <alignment horizontal="center" vertical="center" wrapText="1"/>
    </xf>
    <xf numFmtId="49" fontId="1" fillId="0" borderId="9" xfId="0" applyNumberFormat="1" applyFont="1" applyBorder="1" applyAlignment="1">
      <alignment horizontal="left" vertical="center" wrapText="1"/>
    </xf>
    <xf numFmtId="49" fontId="5" fillId="0" borderId="0" xfId="0" applyNumberFormat="1" applyFont="1" applyAlignment="1">
      <alignment horizontal="left" vertical="center" wrapText="1"/>
    </xf>
    <xf numFmtId="0" fontId="6" fillId="0" borderId="6" xfId="0" applyFont="1" applyBorder="1" applyAlignment="1" applyProtection="1">
      <alignment horizontal="center" vertical="center" wrapText="1"/>
      <protection locked="0"/>
    </xf>
    <xf numFmtId="49" fontId="1" fillId="0" borderId="12" xfId="0" applyNumberFormat="1" applyFont="1" applyBorder="1" applyAlignment="1">
      <alignment horizontal="center" vertical="center" wrapText="1"/>
    </xf>
    <xf numFmtId="49" fontId="5" fillId="0" borderId="10" xfId="0" applyNumberFormat="1" applyFont="1" applyBorder="1" applyAlignment="1">
      <alignment horizontal="center" vertical="center" wrapText="1"/>
    </xf>
    <xf numFmtId="49" fontId="5" fillId="0" borderId="14" xfId="0" applyNumberFormat="1" applyFont="1" applyBorder="1" applyAlignment="1">
      <alignment horizontal="center"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12" xfId="0" applyFont="1" applyBorder="1" applyAlignment="1">
      <alignment horizontal="left" vertical="center" wrapText="1"/>
    </xf>
    <xf numFmtId="0" fontId="3" fillId="0" borderId="10" xfId="0" applyFont="1" applyBorder="1" applyAlignment="1">
      <alignment horizontal="left" vertical="center" wrapText="1"/>
    </xf>
    <xf numFmtId="0" fontId="3" fillId="0" borderId="5" xfId="0" applyFont="1" applyBorder="1" applyAlignment="1">
      <alignment horizontal="right" vertical="center" wrapText="1"/>
    </xf>
    <xf numFmtId="0" fontId="3" fillId="0" borderId="7" xfId="0" applyFont="1" applyBorder="1" applyAlignment="1">
      <alignment horizontal="right" vertical="center" wrapText="1"/>
    </xf>
    <xf numFmtId="0" fontId="6" fillId="0" borderId="5" xfId="0" applyFont="1" applyBorder="1" applyAlignment="1" applyProtection="1">
      <alignment horizontal="center" vertical="center" wrapText="1"/>
      <protection locked="0"/>
    </xf>
    <xf numFmtId="0" fontId="5" fillId="0" borderId="12" xfId="0" quotePrefix="1" applyFont="1" applyBorder="1" applyAlignment="1">
      <alignment horizontal="left" vertical="center" wrapText="1"/>
    </xf>
    <xf numFmtId="0" fontId="5" fillId="0" borderId="10" xfId="0" applyFont="1" applyBorder="1" applyAlignment="1">
      <alignment horizontal="left" vertical="center" wrapText="1"/>
    </xf>
    <xf numFmtId="0" fontId="5" fillId="0" borderId="6" xfId="0" applyFont="1" applyBorder="1" applyAlignment="1">
      <alignment horizontal="center" vertical="center" wrapText="1"/>
    </xf>
    <xf numFmtId="0" fontId="3" fillId="0" borderId="1" xfId="0" applyFont="1" applyBorder="1" applyAlignment="1">
      <alignment horizontal="left" vertical="center" wrapText="1"/>
    </xf>
    <xf numFmtId="0" fontId="1" fillId="0" borderId="12" xfId="0" quotePrefix="1" applyFont="1" applyBorder="1" applyAlignment="1">
      <alignment horizontal="left" vertical="center" wrapText="1"/>
    </xf>
    <xf numFmtId="0" fontId="5" fillId="0" borderId="10" xfId="0" quotePrefix="1" applyFont="1" applyBorder="1" applyAlignment="1">
      <alignment horizontal="left" vertical="center" wrapText="1"/>
    </xf>
    <xf numFmtId="0" fontId="5" fillId="0" borderId="14" xfId="0" quotePrefix="1" applyFont="1" applyBorder="1" applyAlignment="1">
      <alignment horizontal="left" vertical="center" wrapText="1"/>
    </xf>
    <xf numFmtId="0" fontId="0" fillId="0" borderId="0" xfId="0" applyAlignment="1" applyProtection="1">
      <alignment vertical="center" wrapText="1"/>
      <protection locked="0"/>
    </xf>
    <xf numFmtId="0" fontId="0" fillId="0" borderId="6" xfId="0" applyBorder="1" applyAlignment="1">
      <alignment vertical="center" wrapText="1"/>
    </xf>
    <xf numFmtId="0" fontId="8" fillId="0" borderId="0" xfId="0" applyFont="1" applyAlignment="1">
      <alignment horizontal="center" vertical="center" wrapText="1"/>
    </xf>
    <xf numFmtId="0" fontId="5" fillId="0" borderId="12" xfId="0" applyFont="1" applyBorder="1" applyAlignment="1">
      <alignment vertical="center" wrapText="1"/>
    </xf>
    <xf numFmtId="0" fontId="5" fillId="0" borderId="10" xfId="0" applyFont="1" applyBorder="1" applyAlignment="1">
      <alignment vertical="center" wrapText="1"/>
    </xf>
    <xf numFmtId="0" fontId="5" fillId="0" borderId="14" xfId="0" applyFont="1" applyBorder="1" applyAlignment="1">
      <alignment vertical="center" wrapText="1"/>
    </xf>
    <xf numFmtId="0" fontId="5" fillId="0" borderId="12" xfId="0" applyFont="1" applyBorder="1" applyAlignment="1">
      <alignment horizontal="left" vertical="center" wrapText="1"/>
    </xf>
    <xf numFmtId="0" fontId="5" fillId="0" borderId="14" xfId="0" applyFont="1" applyBorder="1" applyAlignment="1">
      <alignment horizontal="left" vertical="center" wrapText="1"/>
    </xf>
    <xf numFmtId="0" fontId="8" fillId="0" borderId="6" xfId="0" applyFont="1" applyBorder="1" applyAlignment="1">
      <alignment horizontal="center" vertical="center" wrapText="1"/>
    </xf>
    <xf numFmtId="0" fontId="0" fillId="0" borderId="0" xfId="0" applyAlignment="1">
      <alignment vertical="center" wrapText="1"/>
    </xf>
    <xf numFmtId="0" fontId="8" fillId="0" borderId="0" xfId="0" applyFont="1" applyAlignment="1" applyProtection="1">
      <alignment horizontal="center" vertical="center" wrapText="1"/>
      <protection locked="0"/>
    </xf>
    <xf numFmtId="0" fontId="5" fillId="0" borderId="6" xfId="0" applyFont="1" applyBorder="1" applyAlignment="1">
      <alignment horizontal="left" vertical="center" wrapText="1"/>
    </xf>
    <xf numFmtId="0" fontId="0" fillId="0" borderId="2" xfId="0" applyBorder="1" applyAlignment="1">
      <alignment horizontal="right" vertical="center" wrapText="1"/>
    </xf>
    <xf numFmtId="0" fontId="0" fillId="0" borderId="3" xfId="0" applyBorder="1" applyAlignment="1">
      <alignment horizontal="right" vertical="center" wrapText="1"/>
    </xf>
    <xf numFmtId="0" fontId="0" fillId="0" borderId="1" xfId="0" applyBorder="1" applyAlignment="1">
      <alignment horizontal="left" vertical="center" wrapText="1"/>
    </xf>
    <xf numFmtId="0" fontId="1" fillId="0" borderId="5" xfId="0" applyFont="1" applyBorder="1" applyAlignment="1" applyProtection="1">
      <alignment horizontal="center" vertical="center" wrapText="1"/>
      <protection locked="0"/>
    </xf>
    <xf numFmtId="0" fontId="5" fillId="0" borderId="6" xfId="0" applyFont="1" applyBorder="1" applyAlignment="1" applyProtection="1">
      <alignment horizontal="center" vertical="center" wrapText="1"/>
      <protection locked="0"/>
    </xf>
    <xf numFmtId="0" fontId="5" fillId="0" borderId="7" xfId="0" applyFont="1" applyBorder="1" applyAlignment="1" applyProtection="1">
      <alignment horizontal="center" vertical="center" wrapText="1"/>
      <protection locked="0"/>
    </xf>
    <xf numFmtId="0" fontId="1" fillId="0" borderId="5" xfId="0" applyFont="1" applyBorder="1" applyAlignment="1" applyProtection="1">
      <alignment horizontal="left" vertical="center" wrapText="1"/>
      <protection locked="0"/>
    </xf>
    <xf numFmtId="0" fontId="5" fillId="0" borderId="6" xfId="0" applyFont="1" applyBorder="1" applyAlignment="1" applyProtection="1">
      <alignment horizontal="left" vertical="center" wrapText="1"/>
      <protection locked="0"/>
    </xf>
    <xf numFmtId="0" fontId="5" fillId="0" borderId="7" xfId="0" applyFont="1" applyBorder="1" applyAlignment="1" applyProtection="1">
      <alignment horizontal="left" vertical="center" wrapText="1"/>
      <protection locked="0"/>
    </xf>
    <xf numFmtId="166" fontId="5" fillId="0" borderId="5" xfId="0" applyNumberFormat="1" applyFont="1" applyBorder="1" applyAlignment="1" applyProtection="1">
      <alignment horizontal="center" vertical="center" wrapText="1"/>
      <protection locked="0"/>
    </xf>
    <xf numFmtId="166" fontId="5" fillId="0" borderId="6" xfId="0" applyNumberFormat="1" applyFont="1" applyBorder="1" applyAlignment="1" applyProtection="1">
      <alignment horizontal="center" vertical="center" wrapText="1"/>
      <protection locked="0"/>
    </xf>
    <xf numFmtId="166" fontId="5" fillId="0" borderId="7" xfId="0" applyNumberFormat="1" applyFont="1" applyBorder="1" applyAlignment="1" applyProtection="1">
      <alignment horizontal="center" vertical="center" wrapText="1"/>
      <protection locked="0"/>
    </xf>
    <xf numFmtId="49" fontId="5" fillId="0" borderId="23" xfId="0" applyNumberFormat="1" applyFont="1" applyBorder="1" applyAlignment="1">
      <alignment horizontal="left" vertical="center" wrapText="1"/>
    </xf>
    <xf numFmtId="49" fontId="2" fillId="0" borderId="0" xfId="0" applyNumberFormat="1" applyFont="1" applyAlignment="1">
      <alignment horizontal="left" vertical="center" wrapText="1"/>
    </xf>
    <xf numFmtId="49" fontId="2" fillId="0" borderId="18" xfId="0" applyNumberFormat="1" applyFont="1" applyBorder="1" applyAlignment="1">
      <alignment horizontal="left" vertical="center" wrapText="1"/>
    </xf>
    <xf numFmtId="49" fontId="5" fillId="0" borderId="8" xfId="0" applyNumberFormat="1" applyFont="1" applyBorder="1" applyAlignment="1">
      <alignment horizontal="left" vertical="center" wrapText="1"/>
    </xf>
    <xf numFmtId="0" fontId="1" fillId="0" borderId="2" xfId="0" applyFont="1" applyBorder="1" applyAlignment="1" applyProtection="1">
      <alignment horizontal="left" vertical="center" wrapText="1"/>
      <protection locked="0"/>
    </xf>
    <xf numFmtId="0" fontId="5" fillId="0" borderId="3" xfId="0" applyFont="1" applyBorder="1" applyAlignment="1">
      <alignment horizontal="right" vertical="center" wrapText="1"/>
    </xf>
    <xf numFmtId="18" fontId="5" fillId="0" borderId="12" xfId="0" applyNumberFormat="1" applyFont="1" applyBorder="1" applyAlignment="1" applyProtection="1">
      <alignment horizontal="center" vertical="center" wrapText="1"/>
      <protection locked="0"/>
    </xf>
    <xf numFmtId="18" fontId="5" fillId="0" borderId="14" xfId="0" applyNumberFormat="1" applyFont="1" applyBorder="1" applyAlignment="1" applyProtection="1">
      <alignment horizontal="center" vertical="center" wrapText="1"/>
      <protection locked="0"/>
    </xf>
    <xf numFmtId="49" fontId="5" fillId="0" borderId="2" xfId="0" applyNumberFormat="1" applyFont="1" applyBorder="1" applyAlignment="1">
      <alignment horizontal="center" vertical="center" wrapText="1"/>
    </xf>
    <xf numFmtId="49" fontId="5" fillId="0" borderId="3" xfId="0" applyNumberFormat="1" applyFont="1" applyBorder="1" applyAlignment="1">
      <alignment horizontal="center" vertical="center" wrapText="1"/>
    </xf>
    <xf numFmtId="49" fontId="5" fillId="0" borderId="4" xfId="0" applyNumberFormat="1" applyFont="1" applyBorder="1" applyAlignment="1">
      <alignment horizontal="center" vertical="center" wrapText="1"/>
    </xf>
    <xf numFmtId="0" fontId="5" fillId="0" borderId="23" xfId="0" applyFont="1" applyBorder="1" applyAlignment="1">
      <alignment horizontal="center" vertical="center" wrapText="1"/>
    </xf>
    <xf numFmtId="0" fontId="5" fillId="0" borderId="24" xfId="0" applyFont="1" applyBorder="1" applyAlignment="1">
      <alignment horizontal="center" vertical="center" wrapText="1"/>
    </xf>
    <xf numFmtId="165" fontId="1" fillId="0" borderId="2" xfId="0" applyNumberFormat="1" applyFont="1" applyBorder="1" applyAlignment="1" applyProtection="1">
      <alignment horizontal="center" vertical="center" wrapText="1"/>
      <protection locked="0"/>
    </xf>
    <xf numFmtId="0" fontId="5" fillId="0" borderId="9" xfId="0" applyFont="1" applyBorder="1" applyAlignment="1">
      <alignment horizontal="center" vertical="center" wrapText="1" shrinkToFit="1"/>
    </xf>
    <xf numFmtId="0" fontId="5" fillId="0" borderId="8" xfId="0" applyFont="1" applyBorder="1" applyAlignment="1">
      <alignment horizontal="center" vertical="center" wrapText="1" shrinkToFit="1"/>
    </xf>
    <xf numFmtId="0" fontId="5" fillId="0" borderId="5" xfId="0" applyFont="1" applyBorder="1" applyAlignment="1">
      <alignment horizontal="center" vertical="center" wrapText="1" shrinkToFit="1"/>
    </xf>
    <xf numFmtId="0" fontId="5" fillId="0" borderId="7" xfId="0" applyFont="1" applyBorder="1" applyAlignment="1">
      <alignment horizontal="center" vertical="center" wrapText="1" shrinkToFit="1"/>
    </xf>
    <xf numFmtId="0" fontId="1" fillId="0" borderId="11" xfId="0" applyFont="1" applyBorder="1" applyAlignment="1">
      <alignment horizontal="center" vertical="center" wrapText="1"/>
    </xf>
    <xf numFmtId="0" fontId="1" fillId="0" borderId="9" xfId="0" applyFont="1" applyBorder="1" applyAlignment="1">
      <alignment horizontal="center" vertical="center" wrapText="1"/>
    </xf>
    <xf numFmtId="0" fontId="5" fillId="0" borderId="0" xfId="0" applyFont="1" applyAlignment="1">
      <alignment horizontal="center" vertical="center" wrapText="1"/>
    </xf>
    <xf numFmtId="0" fontId="5" fillId="0" borderId="18" xfId="0" applyFont="1" applyBorder="1" applyAlignment="1">
      <alignment horizontal="center" vertical="center" wrapText="1"/>
    </xf>
    <xf numFmtId="0" fontId="5" fillId="0" borderId="19" xfId="0" applyFont="1" applyBorder="1" applyAlignment="1">
      <alignment horizontal="center" vertical="center" wrapText="1"/>
    </xf>
    <xf numFmtId="0" fontId="5" fillId="0" borderId="20" xfId="0" applyFont="1" applyBorder="1" applyAlignment="1">
      <alignment horizontal="center" vertical="center" wrapText="1"/>
    </xf>
    <xf numFmtId="0" fontId="5" fillId="0" borderId="21" xfId="0" applyFont="1" applyBorder="1" applyAlignment="1">
      <alignment horizontal="center" vertical="center" wrapText="1"/>
    </xf>
    <xf numFmtId="0" fontId="5" fillId="0" borderId="9" xfId="0" quotePrefix="1" applyFont="1" applyBorder="1" applyAlignment="1">
      <alignment horizontal="center" vertical="center" wrapText="1"/>
    </xf>
    <xf numFmtId="0" fontId="5" fillId="0" borderId="0" xfId="0" quotePrefix="1" applyFont="1" applyAlignment="1">
      <alignment horizontal="center" vertical="center" wrapText="1"/>
    </xf>
    <xf numFmtId="0" fontId="5" fillId="0" borderId="8" xfId="0" quotePrefix="1" applyFont="1" applyBorder="1" applyAlignment="1">
      <alignment horizontal="center" vertical="center" wrapText="1"/>
    </xf>
    <xf numFmtId="0" fontId="5" fillId="0" borderId="5" xfId="0" quotePrefix="1" applyFont="1" applyBorder="1" applyAlignment="1">
      <alignment horizontal="center" vertical="center" wrapText="1"/>
    </xf>
    <xf numFmtId="0" fontId="5" fillId="0" borderId="6" xfId="0" quotePrefix="1" applyFont="1" applyBorder="1" applyAlignment="1">
      <alignment horizontal="center" vertical="center" wrapText="1"/>
    </xf>
    <xf numFmtId="0" fontId="5" fillId="0" borderId="7" xfId="0" quotePrefix="1" applyFont="1" applyBorder="1" applyAlignment="1">
      <alignment horizontal="center" vertical="center" wrapText="1"/>
    </xf>
    <xf numFmtId="0" fontId="1" fillId="0" borderId="0" xfId="0" applyFont="1" applyAlignment="1">
      <alignment horizontal="left" vertical="top" wrapText="1"/>
    </xf>
    <xf numFmtId="0" fontId="2" fillId="0" borderId="0" xfId="0" applyFont="1" applyAlignment="1">
      <alignment horizontal="center"/>
    </xf>
    <xf numFmtId="0" fontId="1" fillId="0" borderId="0" xfId="0" applyFont="1" applyAlignment="1">
      <alignment horizontal="left" wrapText="1"/>
    </xf>
    <xf numFmtId="0" fontId="0" fillId="0" borderId="0" xfId="0" applyAlignment="1">
      <alignment horizontal="left" wrapText="1"/>
    </xf>
    <xf numFmtId="170" fontId="5" fillId="0" borderId="2" xfId="1" applyNumberFormat="1" applyFont="1" applyBorder="1" applyAlignment="1" applyProtection="1">
      <alignment horizontal="right" vertical="center" wrapText="1"/>
      <protection locked="0"/>
    </xf>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8</xdr:col>
      <xdr:colOff>9525</xdr:colOff>
      <xdr:row>0</xdr:row>
      <xdr:rowOff>133350</xdr:rowOff>
    </xdr:from>
    <xdr:to>
      <xdr:col>10</xdr:col>
      <xdr:colOff>171450</xdr:colOff>
      <xdr:row>3</xdr:row>
      <xdr:rowOff>0</xdr:rowOff>
    </xdr:to>
    <xdr:pic>
      <xdr:nvPicPr>
        <xdr:cNvPr id="3249" name="Picture 1" descr="STATE SEAL">
          <a:extLst>
            <a:ext uri="{FF2B5EF4-FFF2-40B4-BE49-F238E27FC236}">
              <a16:creationId xmlns:a16="http://schemas.microsoft.com/office/drawing/2014/main" id="{00000000-0008-0000-0000-0000B10C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38933" t="15140" r="43617" b="66933"/>
        <a:stretch>
          <a:fillRect/>
        </a:stretch>
      </xdr:blipFill>
      <xdr:spPr bwMode="auto">
        <a:xfrm>
          <a:off x="3867150" y="133350"/>
          <a:ext cx="866775"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55"/>
  <sheetViews>
    <sheetView tabSelected="1" zoomScaleNormal="100" workbookViewId="0">
      <selection activeCell="A6" sqref="A6:F6"/>
    </sheetView>
  </sheetViews>
  <sheetFormatPr defaultColWidth="9.140625" defaultRowHeight="12.75" x14ac:dyDescent="0.2"/>
  <cols>
    <col min="1" max="1" width="9.28515625" style="15" bestFit="1" customWidth="1"/>
    <col min="2" max="2" width="9.140625" style="15"/>
    <col min="3" max="3" width="2" style="15" customWidth="1"/>
    <col min="4" max="4" width="7.140625" style="15" customWidth="1"/>
    <col min="5" max="5" width="7.85546875" style="15" customWidth="1"/>
    <col min="6" max="6" width="2" style="15" customWidth="1"/>
    <col min="7" max="7" width="19.42578125" style="15" customWidth="1"/>
    <col min="8" max="8" width="2.85546875" style="15" customWidth="1"/>
    <col min="9" max="9" width="8.5703125" style="15" bestFit="1" customWidth="1"/>
    <col min="10" max="10" width="2" style="15" customWidth="1"/>
    <col min="11" max="11" width="7" style="15" customWidth="1"/>
    <col min="12" max="12" width="2" style="15" customWidth="1"/>
    <col min="13" max="13" width="6.42578125" style="15" customWidth="1"/>
    <col min="14" max="14" width="8.85546875" style="15" customWidth="1"/>
    <col min="15" max="15" width="2" style="15" customWidth="1"/>
    <col min="16" max="16" width="9.5703125" style="15" customWidth="1"/>
    <col min="17" max="17" width="11.140625" style="15" customWidth="1"/>
    <col min="18" max="18" width="2.85546875" style="15" customWidth="1"/>
    <col min="19" max="19" width="6.28515625" style="15" customWidth="1"/>
    <col min="20" max="20" width="9.28515625" style="15" customWidth="1"/>
    <col min="21" max="26" width="9.140625" style="15"/>
    <col min="27" max="27" width="12.140625" style="15" bestFit="1" customWidth="1"/>
    <col min="28" max="16384" width="9.140625" style="15"/>
  </cols>
  <sheetData>
    <row r="1" spans="1:21" ht="26.25" customHeight="1" x14ac:dyDescent="0.2">
      <c r="A1" s="208" t="s">
        <v>51</v>
      </c>
      <c r="B1" s="208"/>
      <c r="C1" s="208"/>
      <c r="D1" s="208"/>
      <c r="E1" s="208"/>
      <c r="F1" s="208"/>
      <c r="G1" s="208"/>
      <c r="H1" s="198"/>
      <c r="I1" s="207"/>
      <c r="J1" s="207"/>
      <c r="K1" s="207"/>
      <c r="L1" s="207"/>
      <c r="M1" s="207"/>
      <c r="N1" s="207"/>
      <c r="O1" s="207"/>
      <c r="P1" s="207"/>
      <c r="Q1" s="207"/>
      <c r="R1" s="207"/>
      <c r="S1" s="207"/>
      <c r="U1" s="68"/>
    </row>
    <row r="2" spans="1:21" s="7" customFormat="1" ht="27.75" customHeight="1" x14ac:dyDescent="0.2">
      <c r="A2" s="200" t="s">
        <v>25</v>
      </c>
      <c r="B2" s="200"/>
      <c r="C2" s="200"/>
      <c r="D2" s="200"/>
      <c r="E2" s="200"/>
      <c r="F2" s="200"/>
      <c r="G2" s="200"/>
      <c r="H2" s="207"/>
      <c r="I2" s="207"/>
      <c r="J2" s="207"/>
      <c r="K2" s="207"/>
      <c r="L2" s="207"/>
      <c r="M2" s="207"/>
      <c r="N2" s="207"/>
      <c r="O2" s="207"/>
      <c r="P2" s="207"/>
      <c r="Q2" s="207"/>
      <c r="R2" s="207"/>
      <c r="S2" s="207"/>
    </row>
    <row r="3" spans="1:21" s="7" customFormat="1" ht="21" customHeight="1" x14ac:dyDescent="0.2">
      <c r="A3" s="200" t="s">
        <v>52</v>
      </c>
      <c r="B3" s="200"/>
      <c r="C3" s="200"/>
      <c r="D3" s="200"/>
      <c r="E3" s="200"/>
      <c r="F3" s="200"/>
      <c r="G3" s="200"/>
      <c r="H3" s="207"/>
      <c r="I3" s="207"/>
      <c r="J3" s="207"/>
      <c r="K3" s="207"/>
      <c r="L3" s="207"/>
      <c r="M3" s="207"/>
      <c r="N3" s="207"/>
      <c r="O3" s="207"/>
      <c r="P3" s="207"/>
      <c r="Q3" s="207"/>
      <c r="R3" s="207"/>
      <c r="S3" s="207"/>
    </row>
    <row r="4" spans="1:21" s="7" customFormat="1" ht="6" customHeight="1" x14ac:dyDescent="0.2">
      <c r="A4" s="206"/>
      <c r="B4" s="206"/>
      <c r="C4" s="206"/>
      <c r="D4" s="206"/>
      <c r="E4" s="206"/>
      <c r="F4" s="206"/>
      <c r="G4" s="206"/>
      <c r="H4" s="206"/>
      <c r="I4" s="206"/>
      <c r="J4" s="206"/>
      <c r="K4" s="206"/>
      <c r="L4" s="206"/>
      <c r="M4" s="206"/>
      <c r="N4" s="206"/>
      <c r="O4" s="206"/>
      <c r="P4" s="206"/>
      <c r="Q4" s="206"/>
      <c r="R4" s="206"/>
      <c r="S4" s="206"/>
    </row>
    <row r="5" spans="1:21" s="8" customFormat="1" x14ac:dyDescent="0.2">
      <c r="A5" s="204" t="s">
        <v>0</v>
      </c>
      <c r="B5" s="192"/>
      <c r="C5" s="192"/>
      <c r="D5" s="192"/>
      <c r="E5" s="192"/>
      <c r="F5" s="205"/>
      <c r="G5" s="201" t="s">
        <v>1</v>
      </c>
      <c r="H5" s="202"/>
      <c r="I5" s="202"/>
      <c r="J5" s="202"/>
      <c r="K5" s="203"/>
      <c r="L5" s="201" t="s">
        <v>2</v>
      </c>
      <c r="M5" s="202"/>
      <c r="N5" s="202"/>
      <c r="O5" s="202"/>
      <c r="P5" s="202"/>
      <c r="Q5" s="202"/>
      <c r="R5" s="202"/>
      <c r="S5" s="203"/>
    </row>
    <row r="6" spans="1:21" s="9" customFormat="1" ht="21" customHeight="1" x14ac:dyDescent="0.2">
      <c r="A6" s="213"/>
      <c r="B6" s="214"/>
      <c r="C6" s="214"/>
      <c r="D6" s="214"/>
      <c r="E6" s="214"/>
      <c r="F6" s="215"/>
      <c r="G6" s="213"/>
      <c r="H6" s="214"/>
      <c r="I6" s="214"/>
      <c r="J6" s="214"/>
      <c r="K6" s="215"/>
      <c r="L6" s="219"/>
      <c r="M6" s="220"/>
      <c r="N6" s="220"/>
      <c r="O6" s="220"/>
      <c r="P6" s="220"/>
      <c r="Q6" s="220"/>
      <c r="R6" s="220"/>
      <c r="S6" s="221"/>
    </row>
    <row r="7" spans="1:21" s="10" customFormat="1" x14ac:dyDescent="0.2">
      <c r="A7" s="204" t="s">
        <v>3</v>
      </c>
      <c r="B7" s="192"/>
      <c r="C7" s="192"/>
      <c r="D7" s="192"/>
      <c r="E7" s="192"/>
      <c r="F7" s="205"/>
      <c r="G7" s="201" t="s">
        <v>53</v>
      </c>
      <c r="H7" s="202"/>
      <c r="I7" s="202"/>
      <c r="J7" s="202"/>
      <c r="K7" s="203"/>
      <c r="L7" s="201" t="s">
        <v>28</v>
      </c>
      <c r="M7" s="202"/>
      <c r="N7" s="202"/>
      <c r="O7" s="202"/>
      <c r="P7" s="202"/>
      <c r="Q7" s="202"/>
      <c r="R7" s="202"/>
      <c r="S7" s="203"/>
    </row>
    <row r="8" spans="1:21" ht="20.25" customHeight="1" x14ac:dyDescent="0.2">
      <c r="A8" s="216"/>
      <c r="B8" s="217"/>
      <c r="C8" s="217"/>
      <c r="D8" s="217"/>
      <c r="E8" s="217"/>
      <c r="F8" s="218"/>
      <c r="G8" s="213"/>
      <c r="H8" s="214"/>
      <c r="I8" s="214"/>
      <c r="J8" s="214"/>
      <c r="K8" s="215"/>
      <c r="L8" s="11"/>
      <c r="M8" s="209" t="s">
        <v>23</v>
      </c>
      <c r="N8" s="209"/>
      <c r="O8" s="12"/>
      <c r="P8" s="13" t="s">
        <v>9</v>
      </c>
      <c r="Q8" s="76"/>
      <c r="R8" s="14" t="s">
        <v>24</v>
      </c>
      <c r="S8" s="77"/>
    </row>
    <row r="9" spans="1:21" s="20" customFormat="1" ht="11.25" x14ac:dyDescent="0.2">
      <c r="A9" s="186" t="s">
        <v>29</v>
      </c>
      <c r="B9" s="187"/>
      <c r="C9" s="16"/>
      <c r="D9" s="173" t="s">
        <v>4</v>
      </c>
      <c r="E9" s="173"/>
      <c r="F9" s="17"/>
      <c r="G9" s="18" t="s">
        <v>5</v>
      </c>
      <c r="H9" s="19"/>
      <c r="I9" s="166" t="s">
        <v>6</v>
      </c>
      <c r="J9" s="166"/>
      <c r="K9" s="166"/>
      <c r="L9" s="16"/>
      <c r="M9" s="166" t="s">
        <v>7</v>
      </c>
      <c r="N9" s="166"/>
      <c r="O9" s="17"/>
      <c r="P9" s="173"/>
      <c r="Q9" s="173"/>
      <c r="R9" s="173"/>
      <c r="S9" s="174"/>
    </row>
    <row r="10" spans="1:21" s="20" customFormat="1" ht="6" customHeight="1" x14ac:dyDescent="0.2">
      <c r="A10" s="167"/>
      <c r="B10" s="168"/>
      <c r="C10" s="168"/>
      <c r="D10" s="168"/>
      <c r="E10" s="168"/>
      <c r="F10" s="168"/>
      <c r="G10" s="168"/>
      <c r="H10" s="168"/>
      <c r="I10" s="168"/>
      <c r="J10" s="168"/>
      <c r="K10" s="168"/>
      <c r="L10" s="168"/>
      <c r="M10" s="168"/>
      <c r="N10" s="168"/>
      <c r="O10" s="168"/>
      <c r="P10" s="168"/>
      <c r="Q10" s="168"/>
      <c r="R10" s="168"/>
      <c r="S10" s="169"/>
    </row>
    <row r="11" spans="1:21" s="10" customFormat="1" ht="14.25" customHeight="1" x14ac:dyDescent="0.2">
      <c r="A11" s="188" t="s">
        <v>8</v>
      </c>
      <c r="B11" s="189"/>
      <c r="C11" s="21"/>
      <c r="D11" s="190"/>
      <c r="E11" s="180"/>
      <c r="F11" s="180"/>
      <c r="G11" s="180"/>
      <c r="H11" s="180"/>
      <c r="I11" s="59" t="s">
        <v>9</v>
      </c>
      <c r="J11" s="22"/>
      <c r="K11" s="180"/>
      <c r="L11" s="180"/>
      <c r="M11" s="180"/>
      <c r="N11" s="180"/>
      <c r="O11" s="180"/>
      <c r="P11" s="180"/>
      <c r="Q11" s="180"/>
      <c r="R11" s="180"/>
      <c r="S11" s="23"/>
    </row>
    <row r="12" spans="1:21" s="10" customFormat="1" ht="6" customHeight="1" x14ac:dyDescent="0.2">
      <c r="A12" s="24"/>
      <c r="B12" s="18"/>
      <c r="C12" s="25"/>
      <c r="D12" s="26"/>
      <c r="E12" s="26"/>
      <c r="F12" s="26"/>
      <c r="G12" s="26"/>
      <c r="H12" s="26"/>
      <c r="I12" s="27"/>
      <c r="J12" s="28"/>
      <c r="K12" s="26"/>
      <c r="L12" s="26"/>
      <c r="M12" s="26"/>
      <c r="N12" s="26"/>
      <c r="O12" s="26"/>
      <c r="P12" s="26"/>
      <c r="Q12" s="26"/>
      <c r="R12" s="26"/>
      <c r="S12" s="29"/>
    </row>
    <row r="13" spans="1:21" s="10" customFormat="1" ht="14.25" customHeight="1" x14ac:dyDescent="0.2">
      <c r="A13" s="191" t="s">
        <v>44</v>
      </c>
      <c r="B13" s="192"/>
      <c r="C13" s="192"/>
      <c r="D13" s="192"/>
      <c r="E13" s="192"/>
      <c r="F13" s="192"/>
      <c r="G13" s="195" t="s">
        <v>69</v>
      </c>
      <c r="H13" s="196"/>
      <c r="I13" s="196"/>
      <c r="J13" s="196"/>
      <c r="K13" s="196"/>
      <c r="L13" s="196"/>
      <c r="M13" s="196"/>
      <c r="N13" s="196"/>
      <c r="O13" s="196"/>
      <c r="P13" s="196"/>
      <c r="Q13" s="196"/>
      <c r="R13" s="196"/>
      <c r="S13" s="197"/>
    </row>
    <row r="14" spans="1:21" s="10" customFormat="1" ht="9.75" customHeight="1" x14ac:dyDescent="0.2">
      <c r="A14" s="194"/>
      <c r="B14" s="194"/>
      <c r="C14" s="194"/>
      <c r="D14" s="194"/>
      <c r="E14" s="194"/>
      <c r="F14" s="184"/>
      <c r="G14" s="67"/>
      <c r="H14" s="15"/>
      <c r="I14" s="15"/>
      <c r="J14" s="15"/>
      <c r="K14" s="15"/>
      <c r="L14" s="15"/>
      <c r="M14" s="15"/>
      <c r="N14" s="198" t="s">
        <v>80</v>
      </c>
      <c r="O14" s="15"/>
      <c r="P14" s="15"/>
      <c r="Q14" s="15"/>
      <c r="R14" s="15"/>
      <c r="S14" s="60"/>
    </row>
    <row r="15" spans="1:21" s="10" customFormat="1" ht="36.75" customHeight="1" x14ac:dyDescent="0.2">
      <c r="A15" s="184"/>
      <c r="B15" s="185"/>
      <c r="C15" s="185"/>
      <c r="D15" s="185"/>
      <c r="E15" s="185"/>
      <c r="F15" s="185"/>
      <c r="G15" s="64" t="s">
        <v>79</v>
      </c>
      <c r="H15" s="75"/>
      <c r="I15" s="65"/>
      <c r="J15" s="65"/>
      <c r="K15" s="65" t="s">
        <v>66</v>
      </c>
      <c r="L15" s="66"/>
      <c r="M15" s="65"/>
      <c r="N15" s="199"/>
      <c r="O15" s="66"/>
      <c r="P15" s="65"/>
      <c r="Q15" s="65"/>
      <c r="R15" s="65"/>
      <c r="S15" s="61"/>
    </row>
    <row r="16" spans="1:21" s="7" customFormat="1" ht="12" customHeight="1" x14ac:dyDescent="0.2">
      <c r="A16" s="210" t="s">
        <v>45</v>
      </c>
      <c r="B16" s="211"/>
      <c r="C16" s="212"/>
      <c r="D16" s="212"/>
      <c r="E16" s="212"/>
      <c r="F16" s="212"/>
      <c r="G16" s="15"/>
      <c r="H16" s="15"/>
      <c r="I16" s="15"/>
      <c r="J16" s="15"/>
      <c r="K16" s="15"/>
      <c r="L16" s="15"/>
      <c r="M16" s="15"/>
      <c r="N16" s="15"/>
      <c r="O16" s="15"/>
      <c r="P16" s="15"/>
      <c r="Q16" s="15"/>
      <c r="R16" s="15"/>
      <c r="S16" s="61"/>
    </row>
    <row r="17" spans="1:19" s="32" customFormat="1" x14ac:dyDescent="0.2">
      <c r="A17" s="62" t="s">
        <v>30</v>
      </c>
      <c r="B17" s="62" t="s">
        <v>31</v>
      </c>
      <c r="C17" s="178" t="s">
        <v>32</v>
      </c>
      <c r="D17" s="225"/>
      <c r="E17" s="178" t="s">
        <v>33</v>
      </c>
      <c r="F17" s="179"/>
      <c r="G17" s="138"/>
      <c r="H17" s="136"/>
      <c r="I17" s="63" t="s">
        <v>35</v>
      </c>
      <c r="J17" s="230" t="s">
        <v>34</v>
      </c>
      <c r="K17" s="231"/>
      <c r="L17" s="231"/>
      <c r="M17" s="231"/>
      <c r="N17" s="232"/>
      <c r="O17" s="170" t="s">
        <v>67</v>
      </c>
      <c r="P17" s="136"/>
      <c r="Q17" s="181" t="s">
        <v>68</v>
      </c>
      <c r="R17" s="182"/>
      <c r="S17" s="183"/>
    </row>
    <row r="18" spans="1:19" s="36" customFormat="1" ht="38.25" x14ac:dyDescent="0.2">
      <c r="A18" s="33" t="s">
        <v>11</v>
      </c>
      <c r="B18" s="33" t="s">
        <v>17</v>
      </c>
      <c r="C18" s="193" t="s">
        <v>18</v>
      </c>
      <c r="D18" s="193"/>
      <c r="E18" s="164" t="s">
        <v>19</v>
      </c>
      <c r="F18" s="193"/>
      <c r="G18" s="193"/>
      <c r="H18" s="165"/>
      <c r="I18" s="34" t="s">
        <v>49</v>
      </c>
      <c r="J18" s="171" t="s">
        <v>46</v>
      </c>
      <c r="K18" s="177"/>
      <c r="L18" s="171" t="s">
        <v>47</v>
      </c>
      <c r="M18" s="172"/>
      <c r="N18" s="35" t="s">
        <v>48</v>
      </c>
      <c r="O18" s="164" t="s">
        <v>50</v>
      </c>
      <c r="P18" s="165"/>
      <c r="Q18" s="164" t="s">
        <v>20</v>
      </c>
      <c r="R18" s="193"/>
      <c r="S18" s="165"/>
    </row>
    <row r="19" spans="1:19" s="9" customFormat="1" ht="15" x14ac:dyDescent="0.2">
      <c r="A19" s="37"/>
      <c r="B19" s="38"/>
      <c r="C19" s="175"/>
      <c r="D19" s="176"/>
      <c r="E19" s="226"/>
      <c r="F19" s="157"/>
      <c r="G19" s="157"/>
      <c r="H19" s="159"/>
      <c r="I19" s="40"/>
      <c r="J19" s="84"/>
      <c r="K19" s="86"/>
      <c r="L19" s="84"/>
      <c r="M19" s="86"/>
      <c r="N19" s="41"/>
      <c r="O19" s="84"/>
      <c r="P19" s="86"/>
      <c r="Q19" s="84">
        <f>SUM(J19:O19)</f>
        <v>0</v>
      </c>
      <c r="R19" s="85"/>
      <c r="S19" s="86"/>
    </row>
    <row r="20" spans="1:19" s="9" customFormat="1" ht="15" x14ac:dyDescent="0.2">
      <c r="A20" s="42"/>
      <c r="B20" s="39"/>
      <c r="C20" s="175"/>
      <c r="D20" s="176"/>
      <c r="E20" s="226"/>
      <c r="F20" s="157"/>
      <c r="G20" s="157"/>
      <c r="H20" s="159"/>
      <c r="I20" s="40"/>
      <c r="J20" s="84"/>
      <c r="K20" s="86"/>
      <c r="L20" s="84"/>
      <c r="M20" s="86"/>
      <c r="N20" s="43"/>
      <c r="O20" s="84"/>
      <c r="P20" s="86"/>
      <c r="Q20" s="84">
        <f t="shared" ref="Q20:Q25" si="0">SUM(J20:O20)</f>
        <v>0</v>
      </c>
      <c r="R20" s="85"/>
      <c r="S20" s="86"/>
    </row>
    <row r="21" spans="1:19" s="9" customFormat="1" ht="15" x14ac:dyDescent="0.2">
      <c r="A21" s="42"/>
      <c r="B21" s="39"/>
      <c r="C21" s="175"/>
      <c r="D21" s="176"/>
      <c r="E21" s="226"/>
      <c r="F21" s="157"/>
      <c r="G21" s="157"/>
      <c r="H21" s="159"/>
      <c r="I21" s="40"/>
      <c r="J21" s="84"/>
      <c r="K21" s="86"/>
      <c r="L21" s="84"/>
      <c r="M21" s="86"/>
      <c r="N21" s="43"/>
      <c r="O21" s="84"/>
      <c r="P21" s="86"/>
      <c r="Q21" s="84">
        <f t="shared" si="0"/>
        <v>0</v>
      </c>
      <c r="R21" s="85"/>
      <c r="S21" s="86"/>
    </row>
    <row r="22" spans="1:19" s="9" customFormat="1" ht="15" x14ac:dyDescent="0.2">
      <c r="A22" s="42"/>
      <c r="B22" s="39"/>
      <c r="C22" s="175"/>
      <c r="D22" s="176"/>
      <c r="E22" s="226"/>
      <c r="F22" s="157"/>
      <c r="G22" s="157"/>
      <c r="H22" s="159"/>
      <c r="I22" s="40"/>
      <c r="J22" s="84"/>
      <c r="K22" s="86"/>
      <c r="L22" s="84"/>
      <c r="M22" s="86"/>
      <c r="N22" s="43"/>
      <c r="O22" s="84"/>
      <c r="P22" s="86"/>
      <c r="Q22" s="84">
        <f t="shared" si="0"/>
        <v>0</v>
      </c>
      <c r="R22" s="85"/>
      <c r="S22" s="86"/>
    </row>
    <row r="23" spans="1:19" s="9" customFormat="1" ht="15" x14ac:dyDescent="0.2">
      <c r="A23" s="42"/>
      <c r="B23" s="39"/>
      <c r="C23" s="175"/>
      <c r="D23" s="176"/>
      <c r="E23" s="156"/>
      <c r="F23" s="157"/>
      <c r="G23" s="157"/>
      <c r="H23" s="159"/>
      <c r="I23" s="40"/>
      <c r="J23" s="84"/>
      <c r="K23" s="86"/>
      <c r="L23" s="84"/>
      <c r="M23" s="86"/>
      <c r="N23" s="43"/>
      <c r="O23" s="84"/>
      <c r="P23" s="86"/>
      <c r="Q23" s="84">
        <f t="shared" si="0"/>
        <v>0</v>
      </c>
      <c r="R23" s="85"/>
      <c r="S23" s="86"/>
    </row>
    <row r="24" spans="1:19" s="9" customFormat="1" ht="15" x14ac:dyDescent="0.2">
      <c r="A24" s="42"/>
      <c r="B24" s="39"/>
      <c r="C24" s="175"/>
      <c r="D24" s="176"/>
      <c r="E24" s="156"/>
      <c r="F24" s="157"/>
      <c r="G24" s="157"/>
      <c r="H24" s="159"/>
      <c r="I24" s="40"/>
      <c r="J24" s="84"/>
      <c r="K24" s="86"/>
      <c r="L24" s="84"/>
      <c r="M24" s="86"/>
      <c r="N24" s="43"/>
      <c r="O24" s="84"/>
      <c r="P24" s="86"/>
      <c r="Q24" s="84">
        <f t="shared" si="0"/>
        <v>0</v>
      </c>
      <c r="R24" s="85"/>
      <c r="S24" s="86"/>
    </row>
    <row r="25" spans="1:19" s="9" customFormat="1" ht="15" x14ac:dyDescent="0.2">
      <c r="A25" s="44"/>
      <c r="B25" s="45"/>
      <c r="C25" s="228"/>
      <c r="D25" s="229"/>
      <c r="E25" s="156"/>
      <c r="F25" s="157"/>
      <c r="G25" s="157"/>
      <c r="H25" s="159"/>
      <c r="I25" s="40"/>
      <c r="J25" s="84"/>
      <c r="K25" s="86"/>
      <c r="L25" s="84"/>
      <c r="M25" s="86"/>
      <c r="N25" s="43"/>
      <c r="O25" s="84"/>
      <c r="P25" s="86"/>
      <c r="Q25" s="84">
        <f t="shared" si="0"/>
        <v>0</v>
      </c>
      <c r="R25" s="85"/>
      <c r="S25" s="86"/>
    </row>
    <row r="26" spans="1:19" s="1" customFormat="1" ht="18" customHeight="1" x14ac:dyDescent="0.2">
      <c r="A26" s="3"/>
      <c r="B26" s="4"/>
      <c r="C26" s="4"/>
      <c r="D26" s="4"/>
      <c r="E26" s="4"/>
      <c r="F26" s="5"/>
      <c r="G26" s="227" t="s">
        <v>26</v>
      </c>
      <c r="H26" s="227"/>
      <c r="I26" s="2">
        <f>SUM(I19:I25)</f>
        <v>0</v>
      </c>
      <c r="J26" s="154">
        <f>SUM(J19:K25)</f>
        <v>0</v>
      </c>
      <c r="K26" s="155"/>
      <c r="L26" s="154">
        <f>SUM(L19:M25)</f>
        <v>0</v>
      </c>
      <c r="M26" s="155"/>
      <c r="N26" s="6">
        <f>SUM(N19:N25)</f>
        <v>0</v>
      </c>
      <c r="O26" s="154">
        <f>SUM(O19:P25)</f>
        <v>0</v>
      </c>
      <c r="P26" s="155"/>
      <c r="Q26" s="151">
        <f>SUM(Q19:S25)</f>
        <v>0</v>
      </c>
      <c r="R26" s="152"/>
      <c r="S26" s="153"/>
    </row>
    <row r="27" spans="1:19" s="46" customFormat="1" ht="12.75" customHeight="1" x14ac:dyDescent="0.2">
      <c r="A27" s="222" t="s">
        <v>27</v>
      </c>
      <c r="B27" s="223"/>
      <c r="C27" s="223"/>
      <c r="D27" s="224"/>
      <c r="E27" s="30" t="s">
        <v>14</v>
      </c>
      <c r="F27" s="135" t="s">
        <v>15</v>
      </c>
      <c r="G27" s="138"/>
      <c r="H27" s="138"/>
      <c r="I27" s="138"/>
      <c r="J27" s="138"/>
      <c r="K27" s="138"/>
      <c r="L27" s="135" t="s">
        <v>36</v>
      </c>
      <c r="M27" s="136"/>
      <c r="N27" s="30" t="s">
        <v>40</v>
      </c>
      <c r="O27" s="135" t="s">
        <v>37</v>
      </c>
      <c r="P27" s="136"/>
      <c r="Q27" s="31" t="s">
        <v>38</v>
      </c>
      <c r="R27" s="135" t="s">
        <v>41</v>
      </c>
      <c r="S27" s="136"/>
    </row>
    <row r="28" spans="1:19" s="46" customFormat="1" ht="12.75" customHeight="1" x14ac:dyDescent="0.2">
      <c r="A28" s="233" t="s">
        <v>21</v>
      </c>
      <c r="B28" s="242" t="s">
        <v>22</v>
      </c>
      <c r="C28" s="242" t="s">
        <v>16</v>
      </c>
      <c r="D28" s="243"/>
      <c r="E28" s="245" t="s">
        <v>11</v>
      </c>
      <c r="F28" s="247" t="s">
        <v>54</v>
      </c>
      <c r="G28" s="248"/>
      <c r="H28" s="248"/>
      <c r="I28" s="248"/>
      <c r="J28" s="248"/>
      <c r="K28" s="249"/>
      <c r="L28" s="236" t="s">
        <v>43</v>
      </c>
      <c r="M28" s="237"/>
      <c r="N28" s="240" t="s">
        <v>82</v>
      </c>
      <c r="O28" s="241" t="s">
        <v>106</v>
      </c>
      <c r="P28" s="163"/>
      <c r="Q28" s="160" t="s">
        <v>56</v>
      </c>
      <c r="R28" s="162" t="s">
        <v>16</v>
      </c>
      <c r="S28" s="163"/>
    </row>
    <row r="29" spans="1:19" s="36" customFormat="1" ht="36.75" customHeight="1" x14ac:dyDescent="0.2">
      <c r="A29" s="234"/>
      <c r="B29" s="193"/>
      <c r="C29" s="193"/>
      <c r="D29" s="244"/>
      <c r="E29" s="246"/>
      <c r="F29" s="250"/>
      <c r="G29" s="251"/>
      <c r="H29" s="251"/>
      <c r="I29" s="251"/>
      <c r="J29" s="251"/>
      <c r="K29" s="252"/>
      <c r="L29" s="238"/>
      <c r="M29" s="239"/>
      <c r="N29" s="161"/>
      <c r="O29" s="164"/>
      <c r="P29" s="165"/>
      <c r="Q29" s="161"/>
      <c r="R29" s="164"/>
      <c r="S29" s="165"/>
    </row>
    <row r="30" spans="1:19" s="9" customFormat="1" ht="15" x14ac:dyDescent="0.2">
      <c r="A30" s="49"/>
      <c r="B30" s="50"/>
      <c r="C30" s="78"/>
      <c r="D30" s="79"/>
      <c r="E30" s="51"/>
      <c r="F30" s="147"/>
      <c r="G30" s="148"/>
      <c r="H30" s="148"/>
      <c r="I30" s="148"/>
      <c r="J30" s="148"/>
      <c r="K30" s="148"/>
      <c r="L30" s="96"/>
      <c r="M30" s="97"/>
      <c r="N30" s="52"/>
      <c r="O30" s="80">
        <f t="shared" ref="O30:O31" si="1">L30-N30</f>
        <v>0</v>
      </c>
      <c r="P30" s="81"/>
      <c r="Q30" s="257">
        <v>0.76</v>
      </c>
      <c r="R30" s="84">
        <f t="shared" ref="R30:R31" si="2">(ROUND(+O30*Q30,2))</f>
        <v>0</v>
      </c>
      <c r="S30" s="86"/>
    </row>
    <row r="31" spans="1:19" s="9" customFormat="1" ht="15" x14ac:dyDescent="0.2">
      <c r="A31" s="49"/>
      <c r="B31" s="50"/>
      <c r="C31" s="78"/>
      <c r="D31" s="79"/>
      <c r="E31" s="51"/>
      <c r="F31" s="147"/>
      <c r="G31" s="148"/>
      <c r="H31" s="148"/>
      <c r="I31" s="148"/>
      <c r="J31" s="148"/>
      <c r="K31" s="148"/>
      <c r="L31" s="96"/>
      <c r="M31" s="97"/>
      <c r="N31" s="52"/>
      <c r="O31" s="80">
        <f t="shared" si="1"/>
        <v>0</v>
      </c>
      <c r="P31" s="81"/>
      <c r="Q31" s="257">
        <v>0.23499999999999999</v>
      </c>
      <c r="R31" s="84">
        <f t="shared" si="2"/>
        <v>0</v>
      </c>
      <c r="S31" s="86"/>
    </row>
    <row r="32" spans="1:19" s="9" customFormat="1" ht="15" x14ac:dyDescent="0.2">
      <c r="A32" s="37"/>
      <c r="B32" s="50"/>
      <c r="C32" s="78"/>
      <c r="D32" s="79"/>
      <c r="E32" s="51"/>
      <c r="F32" s="235"/>
      <c r="G32" s="148"/>
      <c r="H32" s="148"/>
      <c r="I32" s="148"/>
      <c r="J32" s="148"/>
      <c r="K32" s="148"/>
      <c r="L32" s="96"/>
      <c r="M32" s="97"/>
      <c r="N32" s="52"/>
      <c r="O32" s="80">
        <f>L32-N32</f>
        <v>0</v>
      </c>
      <c r="P32" s="81"/>
      <c r="Q32" s="58">
        <v>0.72499999999999998</v>
      </c>
      <c r="R32" s="84">
        <f>(ROUND(+O32*Q32,2))</f>
        <v>0</v>
      </c>
      <c r="S32" s="86"/>
    </row>
    <row r="33" spans="1:19" s="9" customFormat="1" ht="15" customHeight="1" x14ac:dyDescent="0.2">
      <c r="A33" s="42"/>
      <c r="B33" s="50"/>
      <c r="C33" s="78"/>
      <c r="D33" s="79"/>
      <c r="E33" s="51"/>
      <c r="F33" s="235"/>
      <c r="G33" s="148"/>
      <c r="H33" s="148"/>
      <c r="I33" s="148"/>
      <c r="J33" s="148"/>
      <c r="K33" s="148"/>
      <c r="L33" s="96"/>
      <c r="M33" s="97"/>
      <c r="N33" s="52"/>
      <c r="O33" s="80">
        <f t="shared" ref="O33:O35" si="3">L33-N33</f>
        <v>0</v>
      </c>
      <c r="P33" s="81"/>
      <c r="Q33" s="58">
        <v>0.20499999999999999</v>
      </c>
      <c r="R33" s="84">
        <f t="shared" ref="R33:R35" si="4">(ROUND(+O33*Q33,2))</f>
        <v>0</v>
      </c>
      <c r="S33" s="86"/>
    </row>
    <row r="34" spans="1:19" s="9" customFormat="1" ht="15" customHeight="1" x14ac:dyDescent="0.2">
      <c r="A34" s="42"/>
      <c r="B34" s="50"/>
      <c r="C34" s="78"/>
      <c r="D34" s="79"/>
      <c r="E34" s="51"/>
      <c r="F34" s="235"/>
      <c r="G34" s="148"/>
      <c r="H34" s="148"/>
      <c r="I34" s="148"/>
      <c r="J34" s="148"/>
      <c r="K34" s="148"/>
      <c r="L34" s="96"/>
      <c r="M34" s="97"/>
      <c r="N34" s="52"/>
      <c r="O34" s="80">
        <f t="shared" si="3"/>
        <v>0</v>
      </c>
      <c r="P34" s="81"/>
      <c r="Q34" s="58">
        <v>0.7</v>
      </c>
      <c r="R34" s="84">
        <f t="shared" si="4"/>
        <v>0</v>
      </c>
      <c r="S34" s="86"/>
    </row>
    <row r="35" spans="1:19" s="9" customFormat="1" ht="15" customHeight="1" x14ac:dyDescent="0.2">
      <c r="A35" s="42"/>
      <c r="B35" s="50"/>
      <c r="C35" s="78"/>
      <c r="D35" s="79"/>
      <c r="E35" s="51"/>
      <c r="F35" s="235"/>
      <c r="G35" s="148"/>
      <c r="H35" s="148"/>
      <c r="I35" s="148"/>
      <c r="J35" s="148"/>
      <c r="K35" s="148"/>
      <c r="L35" s="96"/>
      <c r="M35" s="97"/>
      <c r="N35" s="52"/>
      <c r="O35" s="80">
        <f t="shared" si="3"/>
        <v>0</v>
      </c>
      <c r="P35" s="81"/>
      <c r="Q35" s="58">
        <v>0.21</v>
      </c>
      <c r="R35" s="84">
        <f t="shared" si="4"/>
        <v>0</v>
      </c>
      <c r="S35" s="86"/>
    </row>
    <row r="36" spans="1:19" s="9" customFormat="1" ht="15" customHeight="1" x14ac:dyDescent="0.2">
      <c r="A36" s="49"/>
      <c r="B36" s="50"/>
      <c r="C36" s="78"/>
      <c r="D36" s="79"/>
      <c r="E36" s="51"/>
      <c r="F36" s="235"/>
      <c r="G36" s="148"/>
      <c r="H36" s="148"/>
      <c r="I36" s="148"/>
      <c r="J36" s="148"/>
      <c r="K36" s="148"/>
      <c r="L36" s="96"/>
      <c r="M36" s="97"/>
      <c r="N36" s="52"/>
      <c r="O36" s="80"/>
      <c r="P36" s="81"/>
      <c r="Q36" s="58"/>
      <c r="R36" s="84"/>
      <c r="S36" s="86"/>
    </row>
    <row r="37" spans="1:19" s="9" customFormat="1" ht="15" customHeight="1" x14ac:dyDescent="0.2">
      <c r="A37" s="49"/>
      <c r="B37" s="50"/>
      <c r="C37" s="78"/>
      <c r="D37" s="79"/>
      <c r="E37" s="51"/>
      <c r="F37" s="235"/>
      <c r="G37" s="148"/>
      <c r="H37" s="148"/>
      <c r="I37" s="148"/>
      <c r="J37" s="148"/>
      <c r="K37" s="148"/>
      <c r="L37" s="96"/>
      <c r="M37" s="97"/>
      <c r="N37" s="52"/>
      <c r="O37" s="80"/>
      <c r="P37" s="81"/>
      <c r="Q37" s="58"/>
      <c r="R37" s="84"/>
      <c r="S37" s="86"/>
    </row>
    <row r="38" spans="1:19" s="9" customFormat="1" ht="15" x14ac:dyDescent="0.2">
      <c r="A38" s="49"/>
      <c r="B38" s="50"/>
      <c r="C38" s="78"/>
      <c r="D38" s="79"/>
      <c r="E38" s="51"/>
      <c r="F38" s="235"/>
      <c r="G38" s="148"/>
      <c r="H38" s="148"/>
      <c r="I38" s="148"/>
      <c r="J38" s="148"/>
      <c r="K38" s="148"/>
      <c r="L38" s="96"/>
      <c r="M38" s="97"/>
      <c r="N38" s="52"/>
      <c r="O38" s="80"/>
      <c r="P38" s="81"/>
      <c r="Q38" s="58"/>
      <c r="R38" s="84"/>
      <c r="S38" s="86"/>
    </row>
    <row r="39" spans="1:19" s="9" customFormat="1" ht="15" x14ac:dyDescent="0.2">
      <c r="A39" s="49"/>
      <c r="B39" s="50"/>
      <c r="C39" s="78"/>
      <c r="D39" s="79"/>
      <c r="E39" s="51"/>
      <c r="F39" s="235"/>
      <c r="G39" s="148"/>
      <c r="H39" s="148"/>
      <c r="I39" s="148"/>
      <c r="J39" s="148"/>
      <c r="K39" s="148"/>
      <c r="L39" s="96"/>
      <c r="M39" s="97"/>
      <c r="N39" s="52"/>
      <c r="O39" s="80"/>
      <c r="P39" s="81"/>
      <c r="Q39" s="58"/>
      <c r="R39" s="84"/>
      <c r="S39" s="86"/>
    </row>
    <row r="40" spans="1:19" s="9" customFormat="1" ht="15" x14ac:dyDescent="0.2">
      <c r="A40" s="49"/>
      <c r="B40" s="50"/>
      <c r="C40" s="78"/>
      <c r="D40" s="79"/>
      <c r="E40" s="51"/>
      <c r="F40" s="147"/>
      <c r="G40" s="148"/>
      <c r="H40" s="148"/>
      <c r="I40" s="148"/>
      <c r="J40" s="148"/>
      <c r="K40" s="148"/>
      <c r="L40" s="96"/>
      <c r="M40" s="97"/>
      <c r="N40" s="52"/>
      <c r="O40" s="80"/>
      <c r="P40" s="81"/>
      <c r="Q40" s="56"/>
      <c r="R40" s="84"/>
      <c r="S40" s="86"/>
    </row>
    <row r="41" spans="1:19" s="9" customFormat="1" ht="15" x14ac:dyDescent="0.2">
      <c r="A41" s="49"/>
      <c r="B41" s="50"/>
      <c r="C41" s="78"/>
      <c r="D41" s="79"/>
      <c r="E41" s="51"/>
      <c r="F41" s="147"/>
      <c r="G41" s="148"/>
      <c r="H41" s="148"/>
      <c r="I41" s="148"/>
      <c r="J41" s="148"/>
      <c r="K41" s="148"/>
      <c r="L41" s="96"/>
      <c r="M41" s="97"/>
      <c r="N41" s="52"/>
      <c r="O41" s="80"/>
      <c r="P41" s="81"/>
      <c r="Q41" s="57"/>
      <c r="R41" s="84"/>
      <c r="S41" s="86"/>
    </row>
    <row r="42" spans="1:19" s="7" customFormat="1" ht="19.5" customHeight="1" x14ac:dyDescent="0.2">
      <c r="A42" s="53"/>
      <c r="B42" s="54" t="s">
        <v>10</v>
      </c>
      <c r="C42" s="107">
        <f>SUM(C30:D41)</f>
        <v>0</v>
      </c>
      <c r="D42" s="108"/>
      <c r="E42" s="55"/>
      <c r="F42" s="132"/>
      <c r="G42" s="132"/>
      <c r="H42" s="132"/>
      <c r="I42" s="132"/>
      <c r="J42" s="132"/>
      <c r="K42" s="132"/>
      <c r="L42" s="132"/>
      <c r="M42" s="132"/>
      <c r="N42" s="132"/>
      <c r="O42" s="133" t="s">
        <v>42</v>
      </c>
      <c r="P42" s="133"/>
      <c r="Q42" s="134"/>
      <c r="R42" s="107">
        <f>SUM(R30:S41)</f>
        <v>0</v>
      </c>
      <c r="S42" s="158"/>
    </row>
    <row r="43" spans="1:19" ht="12.75" customHeight="1" x14ac:dyDescent="0.2">
      <c r="A43" s="117" t="s">
        <v>57</v>
      </c>
      <c r="B43" s="118"/>
      <c r="C43" s="118"/>
      <c r="D43" s="118"/>
      <c r="E43" s="118"/>
      <c r="F43" s="118"/>
      <c r="G43" s="118"/>
      <c r="H43" s="118"/>
      <c r="I43" s="118"/>
      <c r="J43" s="95"/>
      <c r="K43" s="128" t="s">
        <v>58</v>
      </c>
      <c r="L43" s="129"/>
      <c r="M43" s="129"/>
      <c r="N43" s="129"/>
      <c r="O43" s="129"/>
      <c r="P43" s="129"/>
      <c r="Q43" s="103">
        <f>SUM(Q26,R42)</f>
        <v>0</v>
      </c>
      <c r="R43" s="103"/>
      <c r="S43" s="104"/>
    </row>
    <row r="44" spans="1:19" ht="14.25" customHeight="1" x14ac:dyDescent="0.2">
      <c r="A44" s="98"/>
      <c r="B44" s="99"/>
      <c r="C44" s="99"/>
      <c r="D44" s="99"/>
      <c r="E44" s="99"/>
      <c r="F44" s="99"/>
      <c r="G44" s="99"/>
      <c r="H44" s="99"/>
      <c r="I44" s="99"/>
      <c r="J44" s="100"/>
      <c r="K44" s="130"/>
      <c r="L44" s="131"/>
      <c r="M44" s="131"/>
      <c r="N44" s="131"/>
      <c r="O44" s="131"/>
      <c r="P44" s="131"/>
      <c r="Q44" s="105"/>
      <c r="R44" s="105"/>
      <c r="S44" s="106"/>
    </row>
    <row r="45" spans="1:19" ht="15" x14ac:dyDescent="0.2">
      <c r="A45" s="93"/>
      <c r="B45" s="94"/>
      <c r="C45" s="94"/>
      <c r="D45" s="94"/>
      <c r="E45" s="94"/>
      <c r="F45" s="94"/>
      <c r="G45" s="94"/>
      <c r="H45" s="94"/>
      <c r="I45" s="94"/>
      <c r="J45" s="95"/>
      <c r="K45" s="128" t="s">
        <v>59</v>
      </c>
      <c r="L45" s="129"/>
      <c r="M45" s="129"/>
      <c r="N45" s="129"/>
      <c r="O45" s="129"/>
      <c r="P45" s="129"/>
      <c r="Q45" s="139">
        <v>0</v>
      </c>
      <c r="R45" s="139"/>
      <c r="S45" s="140"/>
    </row>
    <row r="46" spans="1:19" ht="15" x14ac:dyDescent="0.2">
      <c r="A46" s="93"/>
      <c r="B46" s="94"/>
      <c r="C46" s="94"/>
      <c r="D46" s="94"/>
      <c r="E46" s="94"/>
      <c r="F46" s="94"/>
      <c r="G46" s="94"/>
      <c r="H46" s="94"/>
      <c r="I46" s="94"/>
      <c r="J46" s="95"/>
      <c r="K46" s="130"/>
      <c r="L46" s="131"/>
      <c r="M46" s="131"/>
      <c r="N46" s="131"/>
      <c r="O46" s="131"/>
      <c r="P46" s="131"/>
      <c r="Q46" s="141"/>
      <c r="R46" s="141"/>
      <c r="S46" s="142"/>
    </row>
    <row r="47" spans="1:19" ht="15" x14ac:dyDescent="0.2">
      <c r="A47" s="93"/>
      <c r="B47" s="94"/>
      <c r="C47" s="94"/>
      <c r="D47" s="94"/>
      <c r="E47" s="94"/>
      <c r="F47" s="94"/>
      <c r="G47" s="94"/>
      <c r="H47" s="94"/>
      <c r="I47" s="94"/>
      <c r="J47" s="95"/>
      <c r="K47" s="128" t="s">
        <v>60</v>
      </c>
      <c r="L47" s="129"/>
      <c r="M47" s="129"/>
      <c r="N47" s="129"/>
      <c r="O47" s="129"/>
      <c r="P47" s="129"/>
      <c r="Q47" s="103">
        <f>SUM(Q43-Q45)</f>
        <v>0</v>
      </c>
      <c r="R47" s="103"/>
      <c r="S47" s="104"/>
    </row>
    <row r="48" spans="1:19" ht="15" x14ac:dyDescent="0.2">
      <c r="A48" s="93"/>
      <c r="B48" s="94"/>
      <c r="C48" s="94"/>
      <c r="D48" s="94"/>
      <c r="E48" s="94"/>
      <c r="F48" s="94"/>
      <c r="G48" s="94"/>
      <c r="H48" s="94"/>
      <c r="I48" s="94"/>
      <c r="J48" s="95"/>
      <c r="K48" s="130"/>
      <c r="L48" s="131"/>
      <c r="M48" s="131"/>
      <c r="N48" s="131"/>
      <c r="O48" s="131"/>
      <c r="P48" s="131"/>
      <c r="Q48" s="105"/>
      <c r="R48" s="105"/>
      <c r="S48" s="106"/>
    </row>
    <row r="49" spans="1:19" ht="15" customHeight="1" x14ac:dyDescent="0.2">
      <c r="A49" s="119"/>
      <c r="B49" s="120"/>
      <c r="C49" s="120"/>
      <c r="D49" s="120"/>
      <c r="E49" s="120"/>
      <c r="F49" s="120"/>
      <c r="G49" s="120"/>
      <c r="H49" s="120"/>
      <c r="I49" s="120"/>
      <c r="J49" s="121"/>
      <c r="K49" s="156" t="s">
        <v>61</v>
      </c>
      <c r="L49" s="157"/>
      <c r="M49" s="157"/>
      <c r="N49" s="157"/>
      <c r="O49" s="47"/>
      <c r="P49" s="137" t="s">
        <v>39</v>
      </c>
      <c r="Q49" s="137"/>
      <c r="R49" s="47"/>
      <c r="S49" s="48"/>
    </row>
    <row r="50" spans="1:19" x14ac:dyDescent="0.2">
      <c r="A50" s="109" t="s">
        <v>12</v>
      </c>
      <c r="B50" s="110"/>
      <c r="C50" s="110"/>
      <c r="D50" s="110"/>
      <c r="E50" s="110"/>
      <c r="F50" s="111"/>
      <c r="G50" s="128" t="s">
        <v>62</v>
      </c>
      <c r="H50" s="129"/>
      <c r="I50" s="129"/>
      <c r="J50" s="146"/>
      <c r="K50" s="128" t="s">
        <v>63</v>
      </c>
      <c r="L50" s="129"/>
      <c r="M50" s="129"/>
      <c r="N50" s="129"/>
      <c r="O50" s="129"/>
      <c r="P50" s="129"/>
      <c r="Q50" s="149" t="s">
        <v>11</v>
      </c>
      <c r="R50" s="149"/>
      <c r="S50" s="150"/>
    </row>
    <row r="51" spans="1:19" ht="15" customHeight="1" x14ac:dyDescent="0.2">
      <c r="A51" s="112"/>
      <c r="B51" s="113"/>
      <c r="C51" s="113"/>
      <c r="D51" s="113"/>
      <c r="E51" s="113"/>
      <c r="F51" s="114"/>
      <c r="G51" s="87"/>
      <c r="H51" s="88"/>
      <c r="I51" s="88"/>
      <c r="J51" s="89"/>
      <c r="K51" s="145"/>
      <c r="L51" s="88"/>
      <c r="M51" s="88"/>
      <c r="N51" s="88"/>
      <c r="O51" s="88"/>
      <c r="P51" s="88"/>
      <c r="Q51" s="82"/>
      <c r="R51" s="82"/>
      <c r="S51" s="83"/>
    </row>
    <row r="52" spans="1:19" ht="20.25" customHeight="1" x14ac:dyDescent="0.2">
      <c r="A52" s="115"/>
      <c r="B52" s="116"/>
      <c r="C52" s="116"/>
      <c r="D52" s="116"/>
      <c r="E52" s="116"/>
      <c r="F52" s="100"/>
      <c r="G52" s="87"/>
      <c r="H52" s="88"/>
      <c r="I52" s="88"/>
      <c r="J52" s="89"/>
      <c r="K52" s="87"/>
      <c r="L52" s="88"/>
      <c r="M52" s="88"/>
      <c r="N52" s="88"/>
      <c r="O52" s="88"/>
      <c r="P52" s="88"/>
      <c r="Q52" s="82"/>
      <c r="R52" s="82"/>
      <c r="S52" s="83"/>
    </row>
    <row r="53" spans="1:19" ht="14.25" customHeight="1" x14ac:dyDescent="0.2">
      <c r="A53" s="109" t="s">
        <v>13</v>
      </c>
      <c r="B53" s="110"/>
      <c r="C53" s="110"/>
      <c r="D53" s="110"/>
      <c r="E53" s="110"/>
      <c r="F53" s="111"/>
      <c r="G53" s="128" t="s">
        <v>64</v>
      </c>
      <c r="H53" s="129"/>
      <c r="I53" s="129"/>
      <c r="J53" s="146"/>
      <c r="K53" s="143" t="s">
        <v>65</v>
      </c>
      <c r="L53" s="144"/>
      <c r="M53" s="144"/>
      <c r="N53" s="144"/>
      <c r="O53" s="144"/>
      <c r="P53" s="144"/>
      <c r="Q53" s="101" t="s">
        <v>11</v>
      </c>
      <c r="R53" s="101"/>
      <c r="S53" s="102"/>
    </row>
    <row r="54" spans="1:19" ht="22.5" customHeight="1" x14ac:dyDescent="0.2">
      <c r="A54" s="112"/>
      <c r="B54" s="113"/>
      <c r="C54" s="113"/>
      <c r="D54" s="113"/>
      <c r="E54" s="113"/>
      <c r="F54" s="114"/>
      <c r="G54" s="87"/>
      <c r="H54" s="88"/>
      <c r="I54" s="88"/>
      <c r="J54" s="89"/>
      <c r="K54" s="122" t="s">
        <v>55</v>
      </c>
      <c r="L54" s="123"/>
      <c r="M54" s="123"/>
      <c r="N54" s="123"/>
      <c r="O54" s="123"/>
      <c r="P54" s="123"/>
      <c r="Q54" s="82"/>
      <c r="R54" s="82"/>
      <c r="S54" s="83"/>
    </row>
    <row r="55" spans="1:19" ht="18.75" customHeight="1" x14ac:dyDescent="0.2">
      <c r="A55" s="115"/>
      <c r="B55" s="116"/>
      <c r="C55" s="116"/>
      <c r="D55" s="116"/>
      <c r="E55" s="116"/>
      <c r="F55" s="100"/>
      <c r="G55" s="90"/>
      <c r="H55" s="91"/>
      <c r="I55" s="91"/>
      <c r="J55" s="92"/>
      <c r="K55" s="124"/>
      <c r="L55" s="125"/>
      <c r="M55" s="125"/>
      <c r="N55" s="125"/>
      <c r="O55" s="125"/>
      <c r="P55" s="125"/>
      <c r="Q55" s="126"/>
      <c r="R55" s="126"/>
      <c r="S55" s="127"/>
    </row>
  </sheetData>
  <mergeCells count="199">
    <mergeCell ref="C39:D39"/>
    <mergeCell ref="B28:B29"/>
    <mergeCell ref="C28:D29"/>
    <mergeCell ref="E28:E29"/>
    <mergeCell ref="F30:K30"/>
    <mergeCell ref="F28:K29"/>
    <mergeCell ref="C40:D40"/>
    <mergeCell ref="C30:D30"/>
    <mergeCell ref="C33:D33"/>
    <mergeCell ref="F32:K32"/>
    <mergeCell ref="C34:D34"/>
    <mergeCell ref="F34:K34"/>
    <mergeCell ref="C38:D38"/>
    <mergeCell ref="F38:K38"/>
    <mergeCell ref="F33:K33"/>
    <mergeCell ref="F35:K35"/>
    <mergeCell ref="F40:K40"/>
    <mergeCell ref="F39:K39"/>
    <mergeCell ref="F37:K37"/>
    <mergeCell ref="A28:A29"/>
    <mergeCell ref="C37:D37"/>
    <mergeCell ref="C36:D36"/>
    <mergeCell ref="C32:D32"/>
    <mergeCell ref="C35:D35"/>
    <mergeCell ref="O22:P22"/>
    <mergeCell ref="E22:H22"/>
    <mergeCell ref="E21:H21"/>
    <mergeCell ref="E19:H19"/>
    <mergeCell ref="J22:K22"/>
    <mergeCell ref="O33:P33"/>
    <mergeCell ref="O34:P34"/>
    <mergeCell ref="L35:M35"/>
    <mergeCell ref="F36:K36"/>
    <mergeCell ref="O32:P32"/>
    <mergeCell ref="L28:M29"/>
    <mergeCell ref="O35:P35"/>
    <mergeCell ref="O36:P36"/>
    <mergeCell ref="N28:N29"/>
    <mergeCell ref="O28:P29"/>
    <mergeCell ref="O37:P37"/>
    <mergeCell ref="L32:M32"/>
    <mergeCell ref="L33:M33"/>
    <mergeCell ref="L34:M34"/>
    <mergeCell ref="A27:D27"/>
    <mergeCell ref="C17:D17"/>
    <mergeCell ref="C18:D18"/>
    <mergeCell ref="E20:H20"/>
    <mergeCell ref="J26:K26"/>
    <mergeCell ref="L26:M26"/>
    <mergeCell ref="J21:K21"/>
    <mergeCell ref="G26:H26"/>
    <mergeCell ref="J25:K25"/>
    <mergeCell ref="C23:D23"/>
    <mergeCell ref="C22:D22"/>
    <mergeCell ref="C25:D25"/>
    <mergeCell ref="E25:H25"/>
    <mergeCell ref="C24:D24"/>
    <mergeCell ref="C20:D20"/>
    <mergeCell ref="C21:D21"/>
    <mergeCell ref="L24:M24"/>
    <mergeCell ref="J17:N17"/>
    <mergeCell ref="A2:G2"/>
    <mergeCell ref="G5:K5"/>
    <mergeCell ref="A5:F5"/>
    <mergeCell ref="A4:S4"/>
    <mergeCell ref="L5:S5"/>
    <mergeCell ref="H1:S3"/>
    <mergeCell ref="A1:G1"/>
    <mergeCell ref="A3:G3"/>
    <mergeCell ref="Q24:S24"/>
    <mergeCell ref="A7:F7"/>
    <mergeCell ref="M8:N8"/>
    <mergeCell ref="J20:K20"/>
    <mergeCell ref="A16:B16"/>
    <mergeCell ref="C16:F16"/>
    <mergeCell ref="G6:K6"/>
    <mergeCell ref="G7:K7"/>
    <mergeCell ref="D9:E9"/>
    <mergeCell ref="I9:K9"/>
    <mergeCell ref="A6:F6"/>
    <mergeCell ref="G8:K8"/>
    <mergeCell ref="A8:F8"/>
    <mergeCell ref="L6:S6"/>
    <mergeCell ref="L7:S7"/>
    <mergeCell ref="Q19:S19"/>
    <mergeCell ref="M9:N9"/>
    <mergeCell ref="A10:S10"/>
    <mergeCell ref="O17:P17"/>
    <mergeCell ref="L18:M18"/>
    <mergeCell ref="L19:M19"/>
    <mergeCell ref="P9:S9"/>
    <mergeCell ref="C19:D19"/>
    <mergeCell ref="J18:K18"/>
    <mergeCell ref="E17:H17"/>
    <mergeCell ref="K11:R11"/>
    <mergeCell ref="Q17:S17"/>
    <mergeCell ref="A15:F15"/>
    <mergeCell ref="A9:B9"/>
    <mergeCell ref="A11:B11"/>
    <mergeCell ref="D11:H11"/>
    <mergeCell ref="O19:P19"/>
    <mergeCell ref="A13:F13"/>
    <mergeCell ref="O18:P18"/>
    <mergeCell ref="J19:K19"/>
    <mergeCell ref="Q18:S18"/>
    <mergeCell ref="A14:F14"/>
    <mergeCell ref="E18:H18"/>
    <mergeCell ref="G13:S13"/>
    <mergeCell ref="N14:N15"/>
    <mergeCell ref="Q20:S20"/>
    <mergeCell ref="O20:P20"/>
    <mergeCell ref="L20:M20"/>
    <mergeCell ref="L22:M22"/>
    <mergeCell ref="E24:H24"/>
    <mergeCell ref="E23:H23"/>
    <mergeCell ref="R39:S39"/>
    <mergeCell ref="R40:S40"/>
    <mergeCell ref="O40:P40"/>
    <mergeCell ref="L40:M40"/>
    <mergeCell ref="Q28:Q29"/>
    <mergeCell ref="R28:S29"/>
    <mergeCell ref="O25:P25"/>
    <mergeCell ref="L25:M25"/>
    <mergeCell ref="R27:S27"/>
    <mergeCell ref="Q21:S21"/>
    <mergeCell ref="Q22:S22"/>
    <mergeCell ref="O39:P39"/>
    <mergeCell ref="C31:D31"/>
    <mergeCell ref="K53:P53"/>
    <mergeCell ref="K51:P52"/>
    <mergeCell ref="G53:J53"/>
    <mergeCell ref="F31:K31"/>
    <mergeCell ref="L31:M31"/>
    <mergeCell ref="Q50:S50"/>
    <mergeCell ref="Q26:S26"/>
    <mergeCell ref="L21:M21"/>
    <mergeCell ref="J23:K23"/>
    <mergeCell ref="J24:K24"/>
    <mergeCell ref="O23:P23"/>
    <mergeCell ref="Q23:S23"/>
    <mergeCell ref="O26:P26"/>
    <mergeCell ref="K49:N49"/>
    <mergeCell ref="R42:S42"/>
    <mergeCell ref="L27:M27"/>
    <mergeCell ref="F41:K41"/>
    <mergeCell ref="R30:S30"/>
    <mergeCell ref="L30:M30"/>
    <mergeCell ref="G50:J50"/>
    <mergeCell ref="G51:J52"/>
    <mergeCell ref="L37:M37"/>
    <mergeCell ref="R37:S37"/>
    <mergeCell ref="K50:P50"/>
    <mergeCell ref="O30:P30"/>
    <mergeCell ref="R31:S31"/>
    <mergeCell ref="F42:N42"/>
    <mergeCell ref="O42:Q42"/>
    <mergeCell ref="O31:P31"/>
    <mergeCell ref="R41:S41"/>
    <mergeCell ref="O21:P21"/>
    <mergeCell ref="O27:P27"/>
    <mergeCell ref="R32:S32"/>
    <mergeCell ref="R33:S33"/>
    <mergeCell ref="R34:S34"/>
    <mergeCell ref="P49:Q49"/>
    <mergeCell ref="F27:K27"/>
    <mergeCell ref="K47:P48"/>
    <mergeCell ref="Q45:S46"/>
    <mergeCell ref="Q47:S48"/>
    <mergeCell ref="L39:M39"/>
    <mergeCell ref="R35:S35"/>
    <mergeCell ref="O38:P38"/>
    <mergeCell ref="L38:M38"/>
    <mergeCell ref="R38:S38"/>
    <mergeCell ref="R36:S36"/>
    <mergeCell ref="L36:M36"/>
    <mergeCell ref="C41:D41"/>
    <mergeCell ref="O41:P41"/>
    <mergeCell ref="Q51:S52"/>
    <mergeCell ref="Q25:S25"/>
    <mergeCell ref="L23:M23"/>
    <mergeCell ref="O24:P24"/>
    <mergeCell ref="G54:J55"/>
    <mergeCell ref="A45:J45"/>
    <mergeCell ref="L41:M41"/>
    <mergeCell ref="A44:J44"/>
    <mergeCell ref="Q53:S53"/>
    <mergeCell ref="Q43:S44"/>
    <mergeCell ref="C42:D42"/>
    <mergeCell ref="A50:F52"/>
    <mergeCell ref="A53:F55"/>
    <mergeCell ref="A43:J43"/>
    <mergeCell ref="A46:J46"/>
    <mergeCell ref="A47:J47"/>
    <mergeCell ref="A48:J48"/>
    <mergeCell ref="A49:J49"/>
    <mergeCell ref="K54:P55"/>
    <mergeCell ref="Q54:S55"/>
    <mergeCell ref="K43:P44"/>
    <mergeCell ref="K45:P46"/>
  </mergeCells>
  <phoneticPr fontId="0" type="noConversion"/>
  <pageMargins left="0.25" right="0.25" top="0.25" bottom="0.25" header="0" footer="0.5"/>
  <pageSetup scale="82" orientation="portrait"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FAA25-AF24-4091-A023-DBC2D540A9D7}">
  <dimension ref="A1:C38"/>
  <sheetViews>
    <sheetView zoomScale="95" zoomScaleNormal="95" workbookViewId="0">
      <selection activeCell="B27" sqref="B27:C27"/>
    </sheetView>
  </sheetViews>
  <sheetFormatPr defaultRowHeight="12.75" x14ac:dyDescent="0.2"/>
  <cols>
    <col min="1" max="1" width="4.140625" style="72" customWidth="1"/>
    <col min="2" max="2" width="49.85546875" customWidth="1"/>
    <col min="3" max="3" width="53" customWidth="1"/>
  </cols>
  <sheetData>
    <row r="1" spans="1:3" ht="20.100000000000001" customHeight="1" x14ac:dyDescent="0.2">
      <c r="B1" s="254" t="s">
        <v>70</v>
      </c>
      <c r="C1" s="254"/>
    </row>
    <row r="2" spans="1:3" s="69" customFormat="1" ht="63" customHeight="1" x14ac:dyDescent="0.2">
      <c r="A2" s="70"/>
      <c r="B2" s="255" t="s">
        <v>71</v>
      </c>
      <c r="C2" s="256"/>
    </row>
    <row r="3" spans="1:3" ht="4.3499999999999996" customHeight="1" x14ac:dyDescent="0.2">
      <c r="B3" s="69"/>
      <c r="C3" s="69"/>
    </row>
    <row r="4" spans="1:3" s="71" customFormat="1" ht="39.6" customHeight="1" x14ac:dyDescent="0.2">
      <c r="A4" s="72"/>
      <c r="B4" s="256" t="s">
        <v>81</v>
      </c>
      <c r="C4" s="256"/>
    </row>
    <row r="5" spans="1:3" x14ac:dyDescent="0.2">
      <c r="B5" s="69"/>
      <c r="C5" s="69"/>
    </row>
    <row r="6" spans="1:3" ht="15" customHeight="1" x14ac:dyDescent="0.2">
      <c r="A6" s="74">
        <v>1</v>
      </c>
      <c r="B6" s="253" t="s">
        <v>83</v>
      </c>
      <c r="C6" s="253"/>
    </row>
    <row r="7" spans="1:3" ht="15" customHeight="1" x14ac:dyDescent="0.2">
      <c r="A7" s="74">
        <v>2</v>
      </c>
      <c r="B7" s="253" t="s">
        <v>84</v>
      </c>
      <c r="C7" s="253"/>
    </row>
    <row r="8" spans="1:3" ht="15" customHeight="1" x14ac:dyDescent="0.2">
      <c r="A8" s="74">
        <v>3</v>
      </c>
      <c r="B8" s="253" t="s">
        <v>85</v>
      </c>
      <c r="C8" s="253"/>
    </row>
    <row r="9" spans="1:3" ht="15" customHeight="1" x14ac:dyDescent="0.2">
      <c r="A9" s="74">
        <v>4</v>
      </c>
      <c r="B9" s="253" t="s">
        <v>86</v>
      </c>
      <c r="C9" s="253"/>
    </row>
    <row r="10" spans="1:3" ht="30" customHeight="1" x14ac:dyDescent="0.2">
      <c r="A10" s="74">
        <v>5</v>
      </c>
      <c r="B10" s="253" t="s">
        <v>87</v>
      </c>
      <c r="C10" s="253"/>
    </row>
    <row r="11" spans="1:3" ht="30" customHeight="1" x14ac:dyDescent="0.2">
      <c r="A11" s="74">
        <v>6</v>
      </c>
      <c r="B11" s="253" t="s">
        <v>88</v>
      </c>
      <c r="C11" s="253"/>
    </row>
    <row r="12" spans="1:3" ht="60" customHeight="1" x14ac:dyDescent="0.2">
      <c r="A12" s="74">
        <v>7</v>
      </c>
      <c r="B12" s="253" t="s">
        <v>72</v>
      </c>
      <c r="C12" s="253"/>
    </row>
    <row r="13" spans="1:3" ht="30" customHeight="1" x14ac:dyDescent="0.2">
      <c r="A13" s="74">
        <v>8</v>
      </c>
      <c r="B13" s="253" t="s">
        <v>89</v>
      </c>
      <c r="C13" s="253"/>
    </row>
    <row r="14" spans="1:3" ht="30" customHeight="1" x14ac:dyDescent="0.2">
      <c r="A14" s="74">
        <v>9</v>
      </c>
      <c r="B14" s="253" t="s">
        <v>90</v>
      </c>
      <c r="C14" s="253"/>
    </row>
    <row r="15" spans="1:3" ht="30" customHeight="1" x14ac:dyDescent="0.2">
      <c r="A15" s="74">
        <v>10</v>
      </c>
      <c r="B15" s="253" t="s">
        <v>91</v>
      </c>
      <c r="C15" s="253"/>
    </row>
    <row r="16" spans="1:3" ht="30" customHeight="1" x14ac:dyDescent="0.2">
      <c r="A16" s="74">
        <v>11</v>
      </c>
      <c r="B16" s="253" t="s">
        <v>92</v>
      </c>
      <c r="C16" s="253"/>
    </row>
    <row r="17" spans="1:3" ht="30" customHeight="1" x14ac:dyDescent="0.2">
      <c r="A17" s="74">
        <v>12</v>
      </c>
      <c r="B17" s="253" t="s">
        <v>93</v>
      </c>
      <c r="C17" s="253"/>
    </row>
    <row r="18" spans="1:3" ht="64.5" customHeight="1" x14ac:dyDescent="0.2">
      <c r="A18" s="74">
        <v>13</v>
      </c>
      <c r="B18" s="253" t="s">
        <v>107</v>
      </c>
      <c r="C18" s="253"/>
    </row>
    <row r="19" spans="1:3" ht="15" customHeight="1" x14ac:dyDescent="0.2">
      <c r="A19" s="74">
        <v>14</v>
      </c>
      <c r="B19" s="253" t="s">
        <v>94</v>
      </c>
      <c r="C19" s="253"/>
    </row>
    <row r="20" spans="1:3" ht="30" customHeight="1" x14ac:dyDescent="0.2">
      <c r="A20" s="74">
        <v>15</v>
      </c>
      <c r="B20" s="253" t="s">
        <v>95</v>
      </c>
      <c r="C20" s="253"/>
    </row>
    <row r="21" spans="1:3" ht="30" customHeight="1" x14ac:dyDescent="0.2">
      <c r="A21" s="74">
        <v>16</v>
      </c>
      <c r="B21" s="253" t="s">
        <v>96</v>
      </c>
      <c r="C21" s="253"/>
    </row>
    <row r="22" spans="1:3" ht="15" customHeight="1" x14ac:dyDescent="0.2">
      <c r="A22" s="74">
        <v>17</v>
      </c>
      <c r="B22" s="253" t="s">
        <v>97</v>
      </c>
      <c r="C22" s="253"/>
    </row>
    <row r="23" spans="1:3" ht="54.75" customHeight="1" x14ac:dyDescent="0.2">
      <c r="A23" s="73">
        <v>18</v>
      </c>
      <c r="B23" s="253" t="s">
        <v>73</v>
      </c>
      <c r="C23" s="253"/>
    </row>
    <row r="24" spans="1:3" ht="15" customHeight="1" x14ac:dyDescent="0.2">
      <c r="A24" s="73">
        <v>19</v>
      </c>
      <c r="B24" s="253" t="s">
        <v>74</v>
      </c>
      <c r="C24" s="253"/>
    </row>
    <row r="25" spans="1:3" ht="30" customHeight="1" x14ac:dyDescent="0.2">
      <c r="A25" s="73">
        <v>20</v>
      </c>
      <c r="B25" s="253" t="s">
        <v>108</v>
      </c>
      <c r="C25" s="253"/>
    </row>
    <row r="26" spans="1:3" ht="15" customHeight="1" x14ac:dyDescent="0.2">
      <c r="A26" s="73">
        <v>21</v>
      </c>
      <c r="B26" s="253" t="s">
        <v>75</v>
      </c>
      <c r="C26" s="253"/>
    </row>
    <row r="27" spans="1:3" ht="30" customHeight="1" x14ac:dyDescent="0.2">
      <c r="A27" s="73">
        <v>22</v>
      </c>
      <c r="B27" s="253" t="s">
        <v>109</v>
      </c>
      <c r="C27" s="253"/>
    </row>
    <row r="28" spans="1:3" ht="15" customHeight="1" x14ac:dyDescent="0.2">
      <c r="A28" s="73">
        <v>23</v>
      </c>
      <c r="B28" s="253" t="s">
        <v>98</v>
      </c>
      <c r="C28" s="253"/>
    </row>
    <row r="29" spans="1:3" ht="15" customHeight="1" x14ac:dyDescent="0.2">
      <c r="A29" s="73">
        <v>24</v>
      </c>
      <c r="B29" s="253" t="s">
        <v>76</v>
      </c>
      <c r="C29" s="253"/>
    </row>
    <row r="30" spans="1:3" ht="30" customHeight="1" x14ac:dyDescent="0.2">
      <c r="A30" s="73">
        <v>25</v>
      </c>
      <c r="B30" s="253" t="s">
        <v>99</v>
      </c>
      <c r="C30" s="253"/>
    </row>
    <row r="31" spans="1:3" ht="30" customHeight="1" x14ac:dyDescent="0.2">
      <c r="A31" s="73">
        <v>26</v>
      </c>
      <c r="B31" s="253" t="s">
        <v>78</v>
      </c>
      <c r="C31" s="253"/>
    </row>
    <row r="32" spans="1:3" ht="30" customHeight="1" x14ac:dyDescent="0.2">
      <c r="A32" s="73">
        <v>27</v>
      </c>
      <c r="B32" s="253" t="s">
        <v>100</v>
      </c>
      <c r="C32" s="253"/>
    </row>
    <row r="33" spans="1:3" ht="30" customHeight="1" x14ac:dyDescent="0.2">
      <c r="A33" s="73">
        <v>28</v>
      </c>
      <c r="B33" s="253" t="s">
        <v>77</v>
      </c>
      <c r="C33" s="253"/>
    </row>
    <row r="34" spans="1:3" ht="30" customHeight="1" x14ac:dyDescent="0.2">
      <c r="A34" s="73">
        <v>29</v>
      </c>
      <c r="B34" s="253" t="s">
        <v>101</v>
      </c>
      <c r="C34" s="253"/>
    </row>
    <row r="35" spans="1:3" ht="30" customHeight="1" x14ac:dyDescent="0.2">
      <c r="A35" s="73">
        <v>30</v>
      </c>
      <c r="B35" s="253" t="s">
        <v>102</v>
      </c>
      <c r="C35" s="253"/>
    </row>
    <row r="36" spans="1:3" ht="15" customHeight="1" x14ac:dyDescent="0.2">
      <c r="A36" s="73">
        <v>31</v>
      </c>
      <c r="B36" s="253" t="s">
        <v>103</v>
      </c>
      <c r="C36" s="253"/>
    </row>
    <row r="37" spans="1:3" ht="30" customHeight="1" x14ac:dyDescent="0.2">
      <c r="A37" s="73">
        <v>32</v>
      </c>
      <c r="B37" s="253" t="s">
        <v>104</v>
      </c>
      <c r="C37" s="253"/>
    </row>
    <row r="38" spans="1:3" ht="15" customHeight="1" x14ac:dyDescent="0.2">
      <c r="A38" s="73">
        <v>33</v>
      </c>
      <c r="B38" s="253" t="s">
        <v>105</v>
      </c>
      <c r="C38" s="253"/>
    </row>
  </sheetData>
  <sheetProtection algorithmName="SHA-512" hashValue="3rwC03f1uGZc2ztGW5geghtnykiMBNAMQvuuQt3XcQpIwpTlVRr5tpylAa9/AtKT4IcG+m2iEysX9fK96jbnWQ==" saltValue="oVyxomNWFD8+NEr5ZML52g==" spinCount="100000" sheet="1" objects="1" scenarios="1"/>
  <mergeCells count="36">
    <mergeCell ref="B38:C38"/>
    <mergeCell ref="B27:C27"/>
    <mergeCell ref="B28:C28"/>
    <mergeCell ref="B29:C29"/>
    <mergeCell ref="B30:C30"/>
    <mergeCell ref="B31:C31"/>
    <mergeCell ref="B32:C32"/>
    <mergeCell ref="B33:C33"/>
    <mergeCell ref="B34:C34"/>
    <mergeCell ref="B35:C35"/>
    <mergeCell ref="B36:C36"/>
    <mergeCell ref="B37:C37"/>
    <mergeCell ref="B26:C26"/>
    <mergeCell ref="B15:C15"/>
    <mergeCell ref="B16:C16"/>
    <mergeCell ref="B17:C17"/>
    <mergeCell ref="B18:C18"/>
    <mergeCell ref="B19:C19"/>
    <mergeCell ref="B20:C20"/>
    <mergeCell ref="B21:C21"/>
    <mergeCell ref="B22:C22"/>
    <mergeCell ref="B23:C23"/>
    <mergeCell ref="B24:C24"/>
    <mergeCell ref="B25:C25"/>
    <mergeCell ref="B14:C14"/>
    <mergeCell ref="B1:C1"/>
    <mergeCell ref="B2:C2"/>
    <mergeCell ref="B4:C4"/>
    <mergeCell ref="B6:C6"/>
    <mergeCell ref="B7:C7"/>
    <mergeCell ref="B8:C8"/>
    <mergeCell ref="B9:C9"/>
    <mergeCell ref="B10:C10"/>
    <mergeCell ref="B11:C11"/>
    <mergeCell ref="B12:C12"/>
    <mergeCell ref="B13:C13"/>
  </mergeCells>
  <pageMargins left="0.17" right="0.17" top="0.75" bottom="0.43" header="0.3" footer="0.3"/>
  <pageSetup scale="98"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_x0020_title xmlns="9333e0c0-1495-4f6e-9f18-9c5629cbe005">
      <Url>https://www-auth.oregon.gov/das/Financial/Acctng/Documents/75.40.01.FO.xlsx</Url>
      <Description>Travel Expense Detail Sheet</Description>
    </Document_x0020_title>
    <Chapter xmlns="9333e0c0-1495-4f6e-9f18-9c5629cbe005">75 - Forms</Chapter>
    <Alpha_x002f_Number xmlns="9333e0c0-1495-4f6e-9f18-9c5629cbe005">75.40.01.fo</Alpha_x002f_Number>
    <Effective_x0020_Date xmlns="9333e0c0-1495-4f6e-9f18-9c5629cbe005">07/01/2026</Effective_x0020_Date>
    <Topic_x0020_Area xmlns="9333e0c0-1495-4f6e-9f18-9c5629cbe005">OAM</Topic_x0020_Area>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E0E7A523623CB4F8C0C3CD503D8FBAF" ma:contentTypeVersion="22" ma:contentTypeDescription="Create a new document." ma:contentTypeScope="" ma:versionID="2f88af8ebe6c0e5e4080537d02f2354d">
  <xsd:schema xmlns:xsd="http://www.w3.org/2001/XMLSchema" xmlns:xs="http://www.w3.org/2001/XMLSchema" xmlns:p="http://schemas.microsoft.com/office/2006/metadata/properties" xmlns:ns1="http://schemas.microsoft.com/sharepoint/v3" xmlns:ns2="9333e0c0-1495-4f6e-9f18-9c5629cbe005" xmlns:ns3="c11a4dd1-9999-41de-ad6b-508521c3559d" targetNamespace="http://schemas.microsoft.com/office/2006/metadata/properties" ma:root="true" ma:fieldsID="526374552003716673657cf7ac973ec1" ns1:_="" ns2:_="" ns3:_="">
    <xsd:import namespace="http://schemas.microsoft.com/sharepoint/v3"/>
    <xsd:import namespace="9333e0c0-1495-4f6e-9f18-9c5629cbe005"/>
    <xsd:import namespace="c11a4dd1-9999-41de-ad6b-508521c3559d"/>
    <xsd:element name="properties">
      <xsd:complexType>
        <xsd:sequence>
          <xsd:element name="documentManagement">
            <xsd:complexType>
              <xsd:all>
                <xsd:element ref="ns1:PublishingStartDate" minOccurs="0"/>
                <xsd:element ref="ns1:PublishingExpirationDate" minOccurs="0"/>
                <xsd:element ref="ns2:Topic_x0020_Area" minOccurs="0"/>
                <xsd:element ref="ns2:Chapter" minOccurs="0"/>
                <xsd:element ref="ns2:Alpha_x002f_Number" minOccurs="0"/>
                <xsd:element ref="ns2:Document_x0020_title" minOccurs="0"/>
                <xsd:element ref="ns3:SharedWithUsers" minOccurs="0"/>
                <xsd:element ref="ns2:Effective_x0020_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Scheduling Start Date is a site column created by the Publishing feature. It is used to specify the date and time on which this page will first appear to site visitors." ma:hidden="true" ma:internalName="PublishingStartDate" ma:readOnly="false">
      <xsd:simpleType>
        <xsd:restriction base="dms:Unknown"/>
      </xsd:simpleType>
    </xsd:element>
    <xsd:element name="PublishingExpirationDate" ma:index="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ma:readOnly="fals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333e0c0-1495-4f6e-9f18-9c5629cbe005" elementFormDefault="qualified">
    <xsd:import namespace="http://schemas.microsoft.com/office/2006/documentManagement/types"/>
    <xsd:import namespace="http://schemas.microsoft.com/office/infopath/2007/PartnerControls"/>
    <xsd:element name="Topic_x0020_Area" ma:index="10" nillable="true" ma:displayName="Topic" ma:format="Dropdown" ma:internalName="Topic_x0020_Area" ma:readOnly="false">
      <xsd:simpleType>
        <xsd:restriction base="dms:Choice">
          <xsd:enumeration value="OAM"/>
          <xsd:enumeration value="Forms"/>
          <xsd:enumeration value="Debt Disclosures"/>
          <xsd:enumeration value="General Disclosures"/>
          <xsd:enumeration value="SEFA Disclosures"/>
          <xsd:enumeration value="YEC"/>
          <xsd:enumeration value="Publications"/>
          <xsd:enumeration value="Reports"/>
          <xsd:enumeration value="Policies"/>
          <xsd:enumeration value="Training"/>
          <xsd:enumeration value="Statewide Balancing"/>
          <xsd:enumeration value="Accounts Receivable"/>
          <xsd:enumeration value="Security"/>
        </xsd:restriction>
      </xsd:simpleType>
    </xsd:element>
    <xsd:element name="Chapter" ma:index="11" nillable="true" ma:displayName="Chapter" ma:format="Dropdown" ma:internalName="Chapter">
      <xsd:simpleType>
        <xsd:union memberTypes="dms:Text">
          <xsd:simpleType>
            <xsd:restriction base="dms:Choice">
              <xsd:enumeration value="01 - Introduction"/>
              <xsd:enumeration value="05 - R*STARS"/>
              <xsd:enumeration value="10 - Internal control"/>
              <xsd:enumeration value="15 - Accounting &amp; financial reporting"/>
              <xsd:enumeration value="20 - Budgetary accounting &amp; reporting"/>
              <xsd:enumeration value="25 - Management accounting"/>
              <xsd:enumeration value="30 - Federal compliance"/>
              <xsd:enumeration value="35 - Accounts receivable management"/>
              <xsd:enumeration value="40 - Travel"/>
              <xsd:enumeration value="45 - Payroll"/>
              <xsd:enumeration value="50 - Tax issues"/>
              <xsd:enumeration value="55 - Other programs"/>
              <xsd:enumeration value="60 - Chart of accounts"/>
              <xsd:enumeration value="65 - Glossary"/>
              <xsd:enumeration value="70 - Agency lists"/>
              <xsd:enumeration value="75 - Forms"/>
              <xsd:enumeration value="A-G"/>
              <xsd:enumeration value="H- Sample of completed disclosure forms"/>
              <xsd:enumeration value="I- Forms"/>
            </xsd:restriction>
          </xsd:simpleType>
        </xsd:union>
      </xsd:simpleType>
    </xsd:element>
    <xsd:element name="Alpha_x002f_Number" ma:index="12" nillable="true" ma:displayName="Document ID" ma:internalName="Alpha_x002f_Number">
      <xsd:simpleType>
        <xsd:restriction base="dms:Text">
          <xsd:maxLength value="255"/>
        </xsd:restriction>
      </xsd:simpleType>
    </xsd:element>
    <xsd:element name="Document_x0020_title" ma:index="13" nillable="true" ma:displayName="Document Title" ma:description="Enter full title of the document and the URL of the document." ma:format="Hyperlink" ma:internalName="Document_x0020_title">
      <xsd:complexType>
        <xsd:complexContent>
          <xsd:extension base="dms:URL">
            <xsd:sequence>
              <xsd:element name="Url" type="dms:ValidUrl" minOccurs="0" nillable="true"/>
              <xsd:element name="Description" type="xsd:string" nillable="true"/>
            </xsd:sequence>
          </xsd:extension>
        </xsd:complexContent>
      </xsd:complexType>
    </xsd:element>
    <xsd:element name="Effective_x0020_Date" ma:index="15" nillable="true" ma:displayName="Effective Date" ma:internalName="Effective_x0020_Dat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11a4dd1-9999-41de-ad6b-508521c3559d"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34087B9-89AA-4804-B2F9-C534E2986D74}">
  <ds:schemaRefs>
    <ds:schemaRef ds:uri="http://schemas.microsoft.com/office/2006/metadata/properties"/>
    <ds:schemaRef ds:uri="http://schemas.microsoft.com/office/infopath/2007/PartnerControls"/>
    <ds:schemaRef ds:uri="http://schemas.microsoft.com/sharepoint/v3"/>
    <ds:schemaRef ds:uri="388ff984-e83b-4833-bd85-904b1011171b"/>
  </ds:schemaRefs>
</ds:datastoreItem>
</file>

<file path=customXml/itemProps2.xml><?xml version="1.0" encoding="utf-8"?>
<ds:datastoreItem xmlns:ds="http://schemas.openxmlformats.org/officeDocument/2006/customXml" ds:itemID="{4A928F4D-BB76-4859-8376-6A85BEB0AD2B}">
  <ds:schemaRefs>
    <ds:schemaRef ds:uri="http://schemas.microsoft.com/sharepoint/v3/contenttype/forms"/>
  </ds:schemaRefs>
</ds:datastoreItem>
</file>

<file path=customXml/itemProps3.xml><?xml version="1.0" encoding="utf-8"?>
<ds:datastoreItem xmlns:ds="http://schemas.openxmlformats.org/officeDocument/2006/customXml" ds:itemID="{E7235E30-FC71-4982-AE5E-9672022CE203}"/>
</file>

<file path=docMetadata/LabelInfo.xml><?xml version="1.0" encoding="utf-8"?>
<clbl:labelList xmlns:clbl="http://schemas.microsoft.com/office/2020/mipLabelMetadata">
  <clbl:label id="{09b73270-2993-4076-be47-9c78f42a1e84}" enabled="1" method="Privileged" siteId="{aa3f6932-fa7c-47b4-a0ce-a598cad161cf}"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2026 TEDS</vt:lpstr>
      <vt:lpstr>Instructions</vt:lpstr>
      <vt:lpstr>Instructions!OLE_LINK1</vt:lpstr>
    </vt:vector>
  </TitlesOfParts>
  <Company>DAS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Travel Expense Detail Sheet</dc:title>
  <dc:creator>kwargni</dc:creator>
  <cp:lastModifiedBy>WILLIAMS Karen A * DAS</cp:lastModifiedBy>
  <cp:lastPrinted>2026-07-22T17:02:19Z</cp:lastPrinted>
  <dcterms:created xsi:type="dcterms:W3CDTF">2001-11-01T22:14:42Z</dcterms:created>
  <dcterms:modified xsi:type="dcterms:W3CDTF">2026-07-22T17:10:58Z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0x010100CE0E7A523623CB4F8C0C3CD503D8FBAF</vt:lpwstr>
  </property>
  <property fmtid="{D5CDD505-2E9C-101B-9397-08002B2CF9AE}" pid="3" name="MSIP_Label_09b73270-2993-4076-be47-9c78f42a1e84_Enabled">
    <vt:lpwstr>true</vt:lpwstr>
  </property>
  <property fmtid="{D5CDD505-2E9C-101B-9397-08002B2CF9AE}" pid="4" name="MSIP_Label_09b73270-2993-4076-be47-9c78f42a1e84_SetDate">
    <vt:lpwstr>2023-12-29T18:35:01Z</vt:lpwstr>
  </property>
  <property fmtid="{D5CDD505-2E9C-101B-9397-08002B2CF9AE}" pid="5" name="MSIP_Label_09b73270-2993-4076-be47-9c78f42a1e84_Method">
    <vt:lpwstr>Privileged</vt:lpwstr>
  </property>
  <property fmtid="{D5CDD505-2E9C-101B-9397-08002B2CF9AE}" pid="6" name="MSIP_Label_09b73270-2993-4076-be47-9c78f42a1e84_Name">
    <vt:lpwstr>Level 1 - Published (Items)</vt:lpwstr>
  </property>
  <property fmtid="{D5CDD505-2E9C-101B-9397-08002B2CF9AE}" pid="7" name="MSIP_Label_09b73270-2993-4076-be47-9c78f42a1e84_SiteId">
    <vt:lpwstr>aa3f6932-fa7c-47b4-a0ce-a598cad161cf</vt:lpwstr>
  </property>
  <property fmtid="{D5CDD505-2E9C-101B-9397-08002B2CF9AE}" pid="8" name="MSIP_Label_09b73270-2993-4076-be47-9c78f42a1e84_ActionId">
    <vt:lpwstr>b36f6b71-cdd3-42f6-8999-b35a0c62db81</vt:lpwstr>
  </property>
  <property fmtid="{D5CDD505-2E9C-101B-9397-08002B2CF9AE}" pid="9" name="MSIP_Label_09b73270-2993-4076-be47-9c78f42a1e84_ContentBits">
    <vt:lpwstr>0</vt:lpwstr>
  </property>
</Properties>
</file>